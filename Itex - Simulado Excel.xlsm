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EstaPasta_de_trabalho" defaultThemeVersion="124226"/>
  <mc:AlternateContent xmlns:mc="http://schemas.openxmlformats.org/markup-compatibility/2006">
    <mc:Choice Requires="x15">
      <x15ac:absPath xmlns:x15ac="http://schemas.microsoft.com/office/spreadsheetml/2010/11/ac" url="C:\Users\joao_\Desktop\Excel\"/>
    </mc:Choice>
  </mc:AlternateContent>
  <xr:revisionPtr revIDLastSave="0" documentId="13_ncr:1_{1DB9B6DE-A230-48EB-BEA9-4AB8E60EBC18}" xr6:coauthVersionLast="47" xr6:coauthVersionMax="47" xr10:uidLastSave="{00000000-0000-0000-0000-000000000000}"/>
  <workbookProtection workbookAlgorithmName="SHA-512" workbookHashValue="ww6Nbn1ku3mKGnDDiT4nOCGGVIHbGBvATlY/83uu+eXzvGt+22BC1KBz4eknv7n20FtuH0wWQcoNWs8e3bNSTA==" workbookSaltValue="WENnCn2QC+tWkDbYEeb+6Q==" workbookSpinCount="100000" lockStructure="1"/>
  <bookViews>
    <workbookView xWindow="-108" yWindow="-108" windowWidth="23256" windowHeight="12576" activeTab="3" xr2:uid="{00000000-000D-0000-FFFF-FFFF00000000}"/>
  </bookViews>
  <sheets>
    <sheet name="Itex" sheetId="57" r:id="rId1"/>
    <sheet name="1" sheetId="3" r:id="rId2"/>
    <sheet name="2" sheetId="54" r:id="rId3"/>
    <sheet name="3" sheetId="46" r:id="rId4"/>
    <sheet name="4" sheetId="58" r:id="rId5"/>
    <sheet name="5" sheetId="49" r:id="rId6"/>
    <sheet name="6" sheetId="50" r:id="rId7"/>
    <sheet name="7" sheetId="55" r:id="rId8"/>
    <sheet name="8" sheetId="60" r:id="rId9"/>
  </sheets>
  <definedNames>
    <definedName name="Custo_Prod" localSheetId="4">#REF!</definedName>
    <definedName name="Custo_Prod" localSheetId="8">#REF!</definedName>
    <definedName name="Custo_Prod">#REF!</definedName>
    <definedName name="Imposto" localSheetId="4">#REF!</definedName>
    <definedName name="Imposto" localSheetId="8">#REF!</definedName>
    <definedName name="Imposto">#REF!</definedName>
    <definedName name="Lucro" localSheetId="4">#REF!</definedName>
    <definedName name="Lucro" localSheetId="8">#REF!</definedName>
    <definedName name="Lucro">#REF!</definedName>
    <definedName name="Valor_Venda" localSheetId="4">#REF!</definedName>
    <definedName name="Valor_Venda" localSheetId="8">#REF!</definedName>
    <definedName name="Valor_Venda">#REF!</definedName>
    <definedName name="Valor_Venda_Imposto" localSheetId="4">#REF!</definedName>
    <definedName name="Valor_Venda_Imposto" localSheetId="8">#REF!</definedName>
    <definedName name="Valor_Venda_Imposto">#REF!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8" i="54" l="1"/>
  <c r="D27" i="3"/>
  <c r="E27" i="3"/>
  <c r="F27" i="3"/>
  <c r="G27" i="3"/>
  <c r="H27" i="3"/>
  <c r="I27" i="3"/>
  <c r="C27" i="3"/>
  <c r="D26" i="3"/>
  <c r="E26" i="3"/>
  <c r="F26" i="3"/>
  <c r="G26" i="3"/>
  <c r="H26" i="3"/>
  <c r="I26" i="3"/>
  <c r="C26" i="3"/>
  <c r="D25" i="3"/>
  <c r="E25" i="3"/>
  <c r="F25" i="3"/>
  <c r="G25" i="3"/>
  <c r="H25" i="3"/>
  <c r="I25" i="3"/>
  <c r="C25" i="3"/>
  <c r="D24" i="3"/>
  <c r="E24" i="3"/>
  <c r="F24" i="3"/>
  <c r="G24" i="3"/>
  <c r="H24" i="3"/>
  <c r="I24" i="3"/>
  <c r="C24" i="3"/>
  <c r="I12" i="3" l="1"/>
  <c r="I13" i="3"/>
  <c r="I14" i="3"/>
  <c r="I15" i="3"/>
  <c r="I16" i="3"/>
  <c r="I17" i="3"/>
  <c r="I18" i="3"/>
  <c r="I19" i="3"/>
  <c r="I20" i="3"/>
  <c r="I21" i="3"/>
  <c r="I22" i="3"/>
  <c r="I11" i="3"/>
  <c r="H11" i="3"/>
  <c r="H12" i="3"/>
  <c r="H13" i="3"/>
  <c r="H14" i="3"/>
  <c r="H15" i="3"/>
  <c r="H16" i="3"/>
  <c r="H17" i="3"/>
  <c r="H18" i="3"/>
  <c r="H19" i="3"/>
  <c r="H20" i="3"/>
  <c r="H21" i="3"/>
  <c r="H22" i="3"/>
  <c r="G12" i="3"/>
  <c r="G13" i="3"/>
  <c r="G14" i="3"/>
  <c r="G15" i="3"/>
  <c r="G16" i="3"/>
  <c r="G17" i="3"/>
  <c r="G18" i="3"/>
  <c r="G19" i="3"/>
  <c r="G20" i="3"/>
  <c r="G21" i="3"/>
  <c r="G22" i="3"/>
  <c r="G11" i="3"/>
  <c r="F12" i="3"/>
  <c r="F13" i="3"/>
  <c r="F14" i="3"/>
  <c r="F15" i="3"/>
  <c r="F16" i="3"/>
  <c r="F17" i="3"/>
  <c r="F18" i="3"/>
  <c r="F19" i="3"/>
  <c r="F20" i="3"/>
  <c r="F21" i="3"/>
  <c r="F22" i="3"/>
  <c r="F11" i="3"/>
  <c r="E12" i="3"/>
  <c r="E13" i="3"/>
  <c r="E14" i="3"/>
  <c r="E15" i="3"/>
  <c r="E16" i="3"/>
  <c r="E17" i="3"/>
  <c r="E18" i="3"/>
  <c r="E19" i="3"/>
  <c r="E20" i="3"/>
  <c r="E21" i="3"/>
  <c r="E22" i="3"/>
  <c r="E11" i="3"/>
  <c r="I19" i="60"/>
  <c r="K19" i="60" s="1"/>
  <c r="K18" i="60"/>
  <c r="I18" i="60"/>
  <c r="I17" i="60"/>
  <c r="K17" i="60" s="1"/>
  <c r="K16" i="60"/>
  <c r="I16" i="60"/>
  <c r="I15" i="60"/>
  <c r="K15" i="60" s="1"/>
  <c r="K14" i="60"/>
  <c r="I14" i="60"/>
  <c r="I13" i="60"/>
  <c r="K13" i="60" s="1"/>
  <c r="K12" i="60"/>
  <c r="I12" i="60"/>
  <c r="I11" i="60"/>
  <c r="K11" i="60" s="1"/>
  <c r="D25" i="58" l="1"/>
  <c r="D12" i="54" l="1"/>
  <c r="D13" i="54" l="1"/>
  <c r="D14" i="54"/>
  <c r="D15" i="54"/>
  <c r="F15" i="54" s="1"/>
  <c r="D16" i="54"/>
  <c r="F16" i="54" s="1"/>
  <c r="D17" i="54"/>
  <c r="D18" i="54"/>
  <c r="F18" i="54" s="1"/>
  <c r="D19" i="54"/>
  <c r="F19" i="54" s="1"/>
  <c r="D20" i="54"/>
  <c r="F20" i="54" s="1"/>
  <c r="F14" i="54"/>
  <c r="F12" i="54"/>
  <c r="F17" i="54"/>
  <c r="F13" i="54"/>
  <c r="F17" i="49"/>
  <c r="F18" i="49"/>
  <c r="F19" i="49"/>
  <c r="F20" i="49"/>
  <c r="F21" i="49"/>
  <c r="F22" i="49"/>
  <c r="F23" i="49"/>
  <c r="F24" i="49"/>
  <c r="F25" i="49"/>
  <c r="F26" i="49"/>
  <c r="F27" i="49"/>
  <c r="F28" i="49"/>
  <c r="F29" i="49"/>
  <c r="F30" i="49"/>
  <c r="F31" i="49"/>
  <c r="F32" i="49"/>
  <c r="F33" i="49"/>
  <c r="F34" i="49"/>
  <c r="F35" i="49"/>
  <c r="F36" i="49"/>
  <c r="F37" i="49"/>
  <c r="F38" i="49"/>
  <c r="F39" i="49"/>
  <c r="F40" i="49"/>
  <c r="F41" i="49"/>
  <c r="F42" i="49"/>
  <c r="F43" i="49"/>
  <c r="F44" i="49"/>
  <c r="F45" i="49"/>
  <c r="F46" i="49"/>
  <c r="F47" i="49"/>
  <c r="F48" i="49"/>
  <c r="F49" i="49"/>
  <c r="F50" i="49"/>
  <c r="F51" i="49"/>
  <c r="F52" i="49"/>
  <c r="F53" i="49"/>
  <c r="F54" i="49"/>
  <c r="F55" i="49"/>
  <c r="F56" i="49"/>
  <c r="F57" i="49"/>
  <c r="F58" i="49"/>
  <c r="F59" i="49"/>
  <c r="F10" i="49"/>
  <c r="F11" i="49"/>
  <c r="F12" i="49"/>
  <c r="F13" i="49"/>
  <c r="F14" i="49"/>
  <c r="F15" i="49"/>
  <c r="F16" i="49"/>
  <c r="F9" i="4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<sst xmlns="http://schemas.openxmlformats.org/spreadsheetml/2006/main" count="951" uniqueCount="139">
  <si>
    <t>Total</t>
  </si>
  <si>
    <t>Nome</t>
  </si>
  <si>
    <t>Data</t>
  </si>
  <si>
    <t>Mês</t>
  </si>
  <si>
    <t>Status</t>
  </si>
  <si>
    <t>Mínimo</t>
  </si>
  <si>
    <t>Jan</t>
  </si>
  <si>
    <t>Fev</t>
  </si>
  <si>
    <t>Mar</t>
  </si>
  <si>
    <t>Jun</t>
  </si>
  <si>
    <t>Jul</t>
  </si>
  <si>
    <t>Ago</t>
  </si>
  <si>
    <t>Set</t>
  </si>
  <si>
    <t>Out</t>
  </si>
  <si>
    <t>Nov</t>
  </si>
  <si>
    <t>Dez</t>
  </si>
  <si>
    <t>Selecione o Armazém</t>
  </si>
  <si>
    <t>Abr</t>
  </si>
  <si>
    <t>Mai</t>
  </si>
  <si>
    <t>Alpha</t>
  </si>
  <si>
    <t>Máximo</t>
  </si>
  <si>
    <t>Itex - Agro</t>
  </si>
  <si>
    <t>Itex - Car</t>
  </si>
  <si>
    <t>Itex - Tec</t>
  </si>
  <si>
    <t>Itex - Cursos</t>
  </si>
  <si>
    <t>Ações Vendidas</t>
  </si>
  <si>
    <t>Lista</t>
  </si>
  <si>
    <t>Preço médio</t>
  </si>
  <si>
    <t>Qntd. de ações vendidas</t>
  </si>
  <si>
    <t>Beta</t>
  </si>
  <si>
    <t>Selecione a Empresa</t>
  </si>
  <si>
    <t>Qntd Produzida</t>
  </si>
  <si>
    <t>Média</t>
  </si>
  <si>
    <t>Matrícula</t>
  </si>
  <si>
    <t>Setor</t>
  </si>
  <si>
    <t>Qualidade</t>
  </si>
  <si>
    <t>Confiabilidade</t>
  </si>
  <si>
    <t>Guilherme Alvarenga</t>
  </si>
  <si>
    <t>Engenharia</t>
  </si>
  <si>
    <t>Maria Lúcia</t>
  </si>
  <si>
    <t>Comercial</t>
  </si>
  <si>
    <t>Joana Villanueva</t>
  </si>
  <si>
    <t>Financeiro</t>
  </si>
  <si>
    <t>Neymar Meireles</t>
  </si>
  <si>
    <t>Roque Estrela</t>
  </si>
  <si>
    <t>Mário Ferraz</t>
  </si>
  <si>
    <t>Gastão Teves</t>
  </si>
  <si>
    <t>Carla Louzada</t>
  </si>
  <si>
    <t>Ângelo Sales</t>
  </si>
  <si>
    <t>Valdemar Fontoura</t>
  </si>
  <si>
    <t>Patrício Brião</t>
  </si>
  <si>
    <t>Carine Prudente</t>
  </si>
  <si>
    <t>Classificações</t>
  </si>
  <si>
    <t>Desempenho</t>
  </si>
  <si>
    <t>Regular</t>
  </si>
  <si>
    <t>Lucro</t>
  </si>
  <si>
    <t>Custo de Prod.</t>
  </si>
  <si>
    <t>Modelo</t>
  </si>
  <si>
    <t>HB20</t>
  </si>
  <si>
    <t>Tucson</t>
  </si>
  <si>
    <t>Ix 35</t>
  </si>
  <si>
    <t>HB20 S</t>
  </si>
  <si>
    <t>HB20 X</t>
  </si>
  <si>
    <t>Creta</t>
  </si>
  <si>
    <t>Santa Fé</t>
  </si>
  <si>
    <t>Elantra</t>
  </si>
  <si>
    <t>Azera</t>
  </si>
  <si>
    <t>Valor de Venda (S/ Imposto)</t>
  </si>
  <si>
    <t>Valor de Venda (C/ Imposto</t>
  </si>
  <si>
    <t>Concessionária</t>
  </si>
  <si>
    <t>Valor total</t>
  </si>
  <si>
    <t>Soma</t>
  </si>
  <si>
    <t>Selecione o Modelo</t>
  </si>
  <si>
    <t>Valor de Venda:</t>
  </si>
  <si>
    <t>Filial</t>
  </si>
  <si>
    <t>Emissão de CO2 (Mg/Nm³)</t>
  </si>
  <si>
    <t>Emissão S  (Mg/Nm³)</t>
  </si>
  <si>
    <t>Barra Mansa</t>
  </si>
  <si>
    <t>Volta Redonda</t>
  </si>
  <si>
    <t>Resende</t>
  </si>
  <si>
    <t>Rio de Janeiro</t>
  </si>
  <si>
    <t>Valor total em ações</t>
  </si>
  <si>
    <t>Vendas</t>
  </si>
  <si>
    <t>Vendedor</t>
  </si>
  <si>
    <t>Comissão %</t>
  </si>
  <si>
    <t>Comissão Valor</t>
  </si>
  <si>
    <t>Amaro da Rocha</t>
  </si>
  <si>
    <t>Bianca Rangel</t>
  </si>
  <si>
    <t>Chen Ning Yang</t>
  </si>
  <si>
    <t>Denise Rodrigues</t>
  </si>
  <si>
    <t>Eduardo Romano</t>
  </si>
  <si>
    <t>Fabilda Bacci</t>
  </si>
  <si>
    <t>Guiherme Hoch</t>
  </si>
  <si>
    <t>Heloísa Arns</t>
  </si>
  <si>
    <t>Joaquim Barbero</t>
  </si>
  <si>
    <t>Kazuo Ueno</t>
  </si>
  <si>
    <t>Lucas Trindade</t>
  </si>
  <si>
    <t>Maria do Amparo</t>
  </si>
  <si>
    <t>Paul Smith</t>
  </si>
  <si>
    <t>Raíssa Pitersky</t>
  </si>
  <si>
    <t>Valor total em comissões:</t>
  </si>
  <si>
    <t>Posição</t>
  </si>
  <si>
    <t>Valor</t>
  </si>
  <si>
    <t>Grazzi Addans</t>
  </si>
  <si>
    <t>Planilha de Vendas</t>
  </si>
  <si>
    <t>Porcentagem</t>
  </si>
  <si>
    <t>Maior que 6</t>
  </si>
  <si>
    <t>De 4 até 6</t>
  </si>
  <si>
    <t>Menor 4</t>
  </si>
  <si>
    <t>Planilha de Investimentos</t>
  </si>
  <si>
    <t>Empresa</t>
  </si>
  <si>
    <t>Peças Defeituosas</t>
  </si>
  <si>
    <t>Valor Unitário</t>
  </si>
  <si>
    <t>% Defeituosos</t>
  </si>
  <si>
    <t>R$ Custo Defeituosos</t>
  </si>
  <si>
    <t>Produtos Bons</t>
  </si>
  <si>
    <t>% Produtos bons</t>
  </si>
  <si>
    <t>R$ Faturamento Produtos bons</t>
  </si>
  <si>
    <t>Bom</t>
  </si>
  <si>
    <t>Ruim</t>
  </si>
  <si>
    <t>Tabela de Comissão</t>
  </si>
  <si>
    <t>Até R$ 1.000,00</t>
  </si>
  <si>
    <t>Até R$ 3.000,00</t>
  </si>
  <si>
    <t>Maior que R$ 3.000,00</t>
  </si>
  <si>
    <t>Eficiência</t>
  </si>
  <si>
    <t>Segurança</t>
  </si>
  <si>
    <t>Organização</t>
  </si>
  <si>
    <t>Tabela Ranking</t>
  </si>
  <si>
    <t>Valor unitário</t>
  </si>
  <si>
    <t>Relatório de Ações</t>
  </si>
  <si>
    <t>Controle de Estoque - Itex Agronegócios</t>
  </si>
  <si>
    <t>Tabela Resultado</t>
  </si>
  <si>
    <t>Baixo</t>
  </si>
  <si>
    <t>Tabela Status - Nível</t>
  </si>
  <si>
    <t>Cidade</t>
  </si>
  <si>
    <t>Emissão SO2  (Mg/Nm³)</t>
  </si>
  <si>
    <t>TABELA 1</t>
  </si>
  <si>
    <t>TABELA 2</t>
  </si>
  <si>
    <t>tucson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</si>
</sst>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quot;R$&quot;* #,##0.00_);_(&quot;R$&quot;* \(#,##0.00\);_(&quot;R$&quot;* &quot;-&quot;??_);_(@_)"/>
    <numFmt numFmtId="165" formatCode="_-&quot;R$&quot;* #,##0.00_-;\-&quot;R$&quot;* #,##0.00_-;_-&quot;R$&quot;* &quot;-&quot;??_-;_-@_-"/>
    <numFmt numFmtId="166" formatCode="_(* #,##0.00_);_(* \(#,##0.00\);_(* &quot;-&quot;??_);_(@_)"/>
    <numFmt numFmtId="167" formatCode="[$-416]dd\-mmm\-yy;@"/>
    <numFmt numFmtId="168" formatCode="&quot;$&quot;#,##0_);[Red]\(&quot;$&quot;#,##0\)"/>
    <numFmt numFmtId="169" formatCode="0.0%"/>
    <numFmt numFmtId="170" formatCode="_(&quot;R$ &quot;* #,##0.00_);_(&quot;R$ &quot;* \(#,##0.00\);_(&quot;R$ &quot;* &quot;-&quot;??_);_(@_)"/>
    <numFmt numFmtId="171" formatCode="00###"/>
  </numFmts>
  <fonts count="33">
    <font>
      <sz val="11"/>
      <color theme="1"/>
      <name val="Calibri"/>
      <family val="2"/>
      <scheme val="minor"/>
    </font>
    <font>
      <sz val="11"/>
      <color theme="1"/>
      <name val="Calibri"/>
      <family val="2"/>
      <scheme val="minor"/>
    </font>
    <font>
      <sz val="10"/>
      <name val="Arial"/>
      <family val="2"/>
    </font>
    <font>
      <b/>
      <i/>
      <sz val="10"/>
      <color indexed="9"/>
      <name val="Arial"/>
      <family val="2"/>
    </font>
    <font>
      <sz val="10"/>
      <name val="MS Sans Serif"/>
      <family val="2"/>
    </font>
    <font>
      <b/>
      <i/>
      <sz val="12"/>
      <color indexed="8"/>
      <name val="Garamond"/>
      <family val="1"/>
    </font>
    <font>
      <b/>
      <sz val="10"/>
      <name val="MS Sans Serif"/>
      <family val="2"/>
    </font>
    <font>
      <sz val="10"/>
      <name val="Comic Sans MS"/>
      <family val="4"/>
    </font>
    <font>
      <b/>
      <sz val="10"/>
      <color theme="1" tint="4.9989318521683403E-2"/>
      <name val="Open Sans"/>
      <family val="2"/>
    </font>
    <font>
      <sz val="10"/>
      <color theme="1" tint="0.249977111117893"/>
      <name val="Open Sans"/>
      <family val="2"/>
    </font>
    <font>
      <b/>
      <sz val="10"/>
      <color theme="1" tint="0.249977111117893"/>
      <name val="Open Sans"/>
      <family val="2"/>
    </font>
    <font>
      <b/>
      <sz val="10"/>
      <color rgb="FFC00000"/>
      <name val="Open Sans"/>
      <family val="2"/>
    </font>
    <font>
      <b/>
      <sz val="10"/>
      <color theme="5"/>
      <name val="Open Sans"/>
      <family val="2"/>
    </font>
    <font>
      <sz val="10"/>
      <color theme="1" tint="0.249977111117893"/>
      <name val="Open san"/>
    </font>
    <font>
      <sz val="12"/>
      <color rgb="FF222222"/>
      <name val="Arial"/>
      <family val="2"/>
    </font>
    <font>
      <b/>
      <sz val="12"/>
      <color rgb="FF222222"/>
      <name val="Arial"/>
      <family val="2"/>
    </font>
    <font>
      <sz val="10"/>
      <color theme="1" tint="0.249977111117893"/>
      <name val="Open Sans"/>
      <family val="2"/>
    </font>
    <font>
      <b/>
      <sz val="10"/>
      <color theme="3" tint="-0.249977111117893"/>
      <name val="Open Sans"/>
      <family val="2"/>
    </font>
    <font>
      <sz val="10"/>
      <name val="Open Sans"/>
      <family val="2"/>
    </font>
    <font>
      <sz val="11"/>
      <color rgb="FF00B050"/>
      <name val="Calibri"/>
      <family val="2"/>
      <scheme val="minor"/>
    </font>
    <font>
      <sz val="18"/>
      <color rgb="FF00B050"/>
      <name val="Open Sans"/>
      <family val="2"/>
    </font>
    <font>
      <sz val="20"/>
      <color rgb="FF00B050"/>
      <name val="Open Sans"/>
      <family val="2"/>
    </font>
    <font>
      <sz val="10"/>
      <color theme="1" tint="0.249977111117893"/>
      <name val="Calibri"/>
      <family val="2"/>
      <scheme val="minor"/>
    </font>
    <font>
      <b/>
      <sz val="10"/>
      <color theme="1" tint="0.249977111117893"/>
      <name val="Open Sans"/>
      <family val="2"/>
    </font>
    <font>
      <b/>
      <sz val="10"/>
      <color theme="5" tint="-0.249977111117893"/>
      <name val="Open Sans"/>
      <family val="2"/>
    </font>
    <font>
      <b/>
      <sz val="10"/>
      <color theme="0"/>
      <name val="Open Sans"/>
      <family val="2"/>
    </font>
    <font>
      <b/>
      <sz val="11"/>
      <color theme="1" tint="0.249977111117893"/>
      <name val="Open Sans"/>
      <family val="2"/>
    </font>
    <font>
      <b/>
      <sz val="11"/>
      <color theme="5"/>
      <name val="Open Sans"/>
      <family val="2"/>
    </font>
    <font>
      <b/>
      <sz val="10"/>
      <color theme="1"/>
      <name val="Open Sans"/>
      <family val="2"/>
    </font>
    <font>
      <b/>
      <sz val="10"/>
      <color theme="1" tint="0.34998626667073579"/>
      <name val="Open Sans"/>
      <family val="2"/>
    </font>
    <font>
      <b/>
      <sz val="10"/>
      <color theme="1" tint="0.34998626667073579"/>
      <name val="Open Sans"/>
      <family val="2"/>
    </font>
    <font>
      <u val="singleAccounting"/>
      <sz val="10"/>
      <color theme="1" tint="0.249977111117893"/>
      <name val="Open Sans"/>
      <family val="2"/>
    </font>
    <font>
      <b/>
      <u/>
      <sz val="10"/>
      <color theme="5"/>
      <name val="Open Sans"/>
      <family val="2"/>
    </font>
  </fonts>
  <fills count="16">
    <fill>
      <patternFill patternType="none"/>
    </fill>
    <fill>
      <patternFill patternType="gray125"/>
    </fill>
    <fill>
      <patternFill patternType="solid">
        <fgColor indexed="12"/>
        <bgColor indexed="64"/>
      </patternFill>
    </fill>
    <fill>
      <patternFill patternType="solid">
        <fgColor indexed="13"/>
        <bgColor indexed="24"/>
      </patternFill>
    </fill>
    <fill>
      <patternFill patternType="solid">
        <fgColor theme="9"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rgb="FF00B050"/>
        <bgColor indexed="64"/>
      </patternFill>
    </fill>
    <fill>
      <patternFill patternType="solid">
        <fgColor theme="2"/>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2AA62A"/>
        <bgColor indexed="64"/>
      </patternFill>
    </fill>
  </fills>
  <borders count="32">
    <border>
      <left/>
      <right/>
      <top/>
      <bottom/>
      <diagonal/>
    </border>
    <border>
      <left style="medium">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right/>
      <top/>
      <bottom style="medium">
        <color theme="0"/>
      </bottom>
      <diagonal/>
    </border>
    <border>
      <left/>
      <right/>
      <top style="medium">
        <color theme="0"/>
      </top>
      <bottom style="medium">
        <color theme="0"/>
      </bottom>
      <diagonal/>
    </border>
    <border>
      <left/>
      <right/>
      <top style="medium">
        <color theme="0"/>
      </top>
      <bottom/>
      <diagonal/>
    </border>
    <border>
      <left/>
      <right style="thin">
        <color theme="0"/>
      </right>
      <top/>
      <bottom style="medium">
        <color theme="0"/>
      </bottom>
      <diagonal/>
    </border>
    <border>
      <left style="thin">
        <color theme="0"/>
      </left>
      <right/>
      <top/>
      <bottom/>
      <diagonal/>
    </border>
    <border>
      <left/>
      <right style="thin">
        <color theme="0"/>
      </right>
      <top style="medium">
        <color theme="0"/>
      </top>
      <bottom style="medium">
        <color theme="0"/>
      </bottom>
      <diagonal/>
    </border>
    <border>
      <left/>
      <right style="thin">
        <color theme="0"/>
      </right>
      <top style="medium">
        <color theme="0"/>
      </top>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9">
    <xf numFmtId="0" fontId="0" fillId="0" borderId="0"/>
    <xf numFmtId="0" fontId="2" fillId="0" borderId="0"/>
    <xf numFmtId="0" fontId="3" fillId="2" borderId="0">
      <alignment horizontal="center"/>
    </xf>
    <xf numFmtId="38" fontId="4" fillId="0" borderId="0" applyFont="0" applyFill="0" applyBorder="0" applyAlignment="0" applyProtection="0"/>
    <xf numFmtId="168" fontId="4" fillId="0" borderId="0" applyFont="0" applyFill="0" applyBorder="0" applyAlignment="0" applyProtection="0"/>
    <xf numFmtId="0" fontId="5" fillId="3" borderId="1">
      <alignment horizontal="left"/>
    </xf>
    <xf numFmtId="0" fontId="6" fillId="0" borderId="0" applyNumberForma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0"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0" fontId="2" fillId="0" borderId="0" applyFont="0" applyFill="0" applyBorder="0" applyAlignment="0" applyProtection="0"/>
    <xf numFmtId="0" fontId="2" fillId="0" borderId="0"/>
    <xf numFmtId="0" fontId="2" fillId="0" borderId="0"/>
    <xf numFmtId="9" fontId="7"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170"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164" fontId="1" fillId="0" borderId="0" applyFont="0" applyFill="0" applyBorder="0" applyAlignment="0" applyProtection="0"/>
  </cellStyleXfs>
  <cellXfs count="135">
    <xf numFmtId="0" fontId="0" fillId="0" borderId="0" xfId="0"/>
    <xf numFmtId="0" fontId="9" fillId="0" borderId="0" xfId="1" applyNumberFormat="1" applyFont="1" applyAlignment="1">
      <alignment horizontal="center" vertical="center"/>
    </xf>
    <xf numFmtId="0" fontId="9" fillId="0" borderId="0" xfId="17" applyNumberFormat="1" applyFont="1" applyAlignment="1">
      <alignment horizontal="center" vertical="center"/>
    </xf>
    <xf numFmtId="0" fontId="9" fillId="0" borderId="0" xfId="1" applyNumberFormat="1" applyFont="1" applyFill="1" applyBorder="1" applyAlignment="1">
      <alignment horizontal="center" vertical="center" wrapText="1"/>
    </xf>
    <xf numFmtId="0" fontId="9" fillId="0" borderId="2" xfId="1" applyNumberFormat="1" applyFont="1" applyFill="1" applyBorder="1" applyAlignment="1">
      <alignment horizontal="center" vertical="center" wrapText="1"/>
    </xf>
    <xf numFmtId="0" fontId="9" fillId="0" borderId="2" xfId="1" applyNumberFormat="1" applyFont="1" applyBorder="1" applyAlignment="1">
      <alignment horizontal="center" vertical="center"/>
    </xf>
    <xf numFmtId="0" fontId="11" fillId="0" borderId="2" xfId="1" applyNumberFormat="1" applyFont="1" applyFill="1" applyBorder="1" applyAlignment="1">
      <alignment horizontal="center" vertical="center" wrapText="1"/>
    </xf>
    <xf numFmtId="0" fontId="15" fillId="0" borderId="0" xfId="0" applyFont="1" applyAlignment="1">
      <alignment horizontal="left" vertical="center" wrapText="1" indent="1"/>
    </xf>
    <xf numFmtId="0" fontId="14" fillId="0" borderId="0" xfId="0" applyFont="1" applyAlignment="1">
      <alignment horizontal="left" vertical="center" wrapText="1" indent="1"/>
    </xf>
    <xf numFmtId="0" fontId="10" fillId="0" borderId="4" xfId="1" applyNumberFormat="1" applyFont="1" applyFill="1" applyBorder="1" applyAlignment="1">
      <alignment horizontal="center" vertical="center"/>
    </xf>
    <xf numFmtId="0" fontId="16" fillId="0" borderId="0" xfId="1" applyNumberFormat="1" applyFont="1" applyAlignment="1">
      <alignment horizontal="center" vertical="center"/>
    </xf>
    <xf numFmtId="0" fontId="16" fillId="0" borderId="0" xfId="1" applyNumberFormat="1" applyFont="1" applyFill="1" applyBorder="1" applyAlignment="1">
      <alignment horizontal="center" vertical="center" wrapText="1"/>
    </xf>
    <xf numFmtId="0" fontId="16" fillId="0" borderId="0" xfId="17" applyNumberFormat="1" applyFont="1" applyAlignment="1">
      <alignment horizontal="center" vertical="center"/>
    </xf>
    <xf numFmtId="0" fontId="11" fillId="0" borderId="0" xfId="1" applyNumberFormat="1" applyFont="1" applyFill="1" applyBorder="1" applyAlignment="1">
      <alignment horizontal="center" vertical="center" wrapText="1"/>
    </xf>
    <xf numFmtId="0" fontId="16" fillId="0" borderId="0" xfId="0" applyFont="1" applyFill="1" applyBorder="1" applyAlignment="1">
      <alignment horizontal="center" vertical="center"/>
    </xf>
    <xf numFmtId="1" fontId="16" fillId="0" borderId="0" xfId="0" applyNumberFormat="1" applyFont="1" applyFill="1" applyBorder="1" applyAlignment="1">
      <alignment horizontal="center" vertical="center"/>
    </xf>
    <xf numFmtId="2" fontId="16" fillId="0" borderId="0" xfId="0" applyNumberFormat="1" applyFont="1" applyFill="1" applyBorder="1" applyAlignment="1">
      <alignment horizontal="center" vertical="center"/>
    </xf>
    <xf numFmtId="0" fontId="16" fillId="0" borderId="0" xfId="1" applyNumberFormat="1" applyFont="1" applyFill="1" applyBorder="1" applyAlignment="1">
      <alignment horizontal="center" vertical="center"/>
    </xf>
    <xf numFmtId="10" fontId="16" fillId="0" borderId="0" xfId="29" applyNumberFormat="1" applyFont="1" applyFill="1" applyBorder="1" applyAlignment="1">
      <alignment horizontal="center" vertical="center" wrapText="1"/>
    </xf>
    <xf numFmtId="1" fontId="16" fillId="0" borderId="5" xfId="0" applyNumberFormat="1" applyFont="1" applyFill="1" applyBorder="1" applyAlignment="1">
      <alignment horizontal="center" vertical="center"/>
    </xf>
    <xf numFmtId="1" fontId="16" fillId="0" borderId="6" xfId="0" applyNumberFormat="1" applyFont="1" applyFill="1" applyBorder="1" applyAlignment="1">
      <alignment horizontal="center" vertical="center"/>
    </xf>
    <xf numFmtId="10" fontId="10" fillId="0" borderId="6" xfId="29" applyNumberFormat="1" applyFont="1" applyFill="1" applyBorder="1" applyAlignment="1">
      <alignment horizontal="center" vertical="center" wrapText="1"/>
    </xf>
    <xf numFmtId="1" fontId="11" fillId="0" borderId="4"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18" fillId="0" borderId="0" xfId="1" applyFont="1" applyBorder="1" applyAlignment="1">
      <alignment horizontal="center" vertical="center"/>
    </xf>
    <xf numFmtId="0" fontId="16" fillId="0" borderId="5" xfId="1" applyFont="1" applyBorder="1" applyAlignment="1">
      <alignment horizontal="center" vertical="center"/>
    </xf>
    <xf numFmtId="0" fontId="16" fillId="0" borderId="7" xfId="1" applyFont="1" applyFill="1" applyBorder="1" applyAlignment="1">
      <alignment horizontal="center" vertical="center"/>
    </xf>
    <xf numFmtId="0" fontId="16" fillId="0" borderId="4" xfId="1" applyFont="1" applyBorder="1" applyAlignment="1">
      <alignment horizontal="center" vertical="center"/>
    </xf>
    <xf numFmtId="0" fontId="16" fillId="0" borderId="3" xfId="1" applyFont="1" applyFill="1" applyBorder="1" applyAlignment="1">
      <alignment horizontal="center" vertical="center"/>
    </xf>
    <xf numFmtId="0" fontId="16" fillId="0" borderId="8" xfId="1" applyFont="1" applyBorder="1" applyAlignment="1">
      <alignment horizontal="center" vertical="center"/>
    </xf>
    <xf numFmtId="0" fontId="10" fillId="0" borderId="0" xfId="1" applyNumberFormat="1" applyFont="1" applyFill="1" applyBorder="1" applyAlignment="1">
      <alignment horizontal="center" vertical="center" wrapText="1"/>
    </xf>
    <xf numFmtId="0" fontId="19" fillId="0" borderId="0" xfId="0" applyFont="1" applyFill="1" applyBorder="1"/>
    <xf numFmtId="0" fontId="20" fillId="0" borderId="0" xfId="0" applyFont="1" applyFill="1" applyBorder="1" applyAlignment="1">
      <alignment vertical="center" wrapText="1"/>
    </xf>
    <xf numFmtId="0" fontId="21" fillId="0" borderId="0" xfId="0" applyFont="1" applyFill="1" applyBorder="1" applyAlignment="1">
      <alignment vertical="center" wrapText="1"/>
    </xf>
    <xf numFmtId="0" fontId="0" fillId="0" borderId="0" xfId="0" applyFill="1"/>
    <xf numFmtId="0" fontId="0" fillId="5" borderId="0" xfId="0" applyFill="1"/>
    <xf numFmtId="0" fontId="9" fillId="0" borderId="4" xfId="1" applyFont="1" applyFill="1" applyBorder="1" applyAlignment="1">
      <alignment horizontal="left" vertical="center"/>
    </xf>
    <xf numFmtId="0" fontId="9" fillId="0" borderId="5" xfId="1" applyFont="1" applyFill="1" applyBorder="1" applyAlignment="1">
      <alignment horizontal="left" vertical="center"/>
    </xf>
    <xf numFmtId="0" fontId="9" fillId="0" borderId="0" xfId="0" applyFont="1" applyFill="1" applyBorder="1" applyAlignment="1">
      <alignment horizontal="center" vertical="center"/>
    </xf>
    <xf numFmtId="0" fontId="22" fillId="0" borderId="0" xfId="0" applyFont="1" applyAlignment="1">
      <alignment horizontal="center" vertical="center"/>
    </xf>
    <xf numFmtId="0" fontId="9" fillId="0" borderId="0" xfId="0" applyFont="1" applyBorder="1" applyAlignment="1">
      <alignment horizontal="center" vertical="center"/>
    </xf>
    <xf numFmtId="0" fontId="9" fillId="0" borderId="0" xfId="0" applyFont="1" applyAlignment="1">
      <alignment horizontal="center" vertical="center"/>
    </xf>
    <xf numFmtId="0" fontId="16" fillId="0" borderId="0" xfId="1" applyNumberFormat="1" applyFont="1" applyFill="1" applyBorder="1" applyAlignment="1">
      <alignment horizontal="center" vertical="center" wrapText="1"/>
    </xf>
    <xf numFmtId="0" fontId="17" fillId="0" borderId="0" xfId="0" applyFont="1" applyFill="1" applyBorder="1" applyAlignment="1">
      <alignment horizontal="center" vertical="center"/>
    </xf>
    <xf numFmtId="0" fontId="0" fillId="0" borderId="0" xfId="0" applyFill="1" applyAlignment="1">
      <alignment vertical="center"/>
    </xf>
    <xf numFmtId="0" fontId="17" fillId="0" borderId="0" xfId="0" applyFont="1" applyFill="1" applyBorder="1" applyAlignment="1">
      <alignment horizontal="center" vertical="center"/>
    </xf>
    <xf numFmtId="0" fontId="16" fillId="0" borderId="0" xfId="1" applyNumberFormat="1" applyFont="1" applyFill="1" applyBorder="1" applyAlignment="1">
      <alignment horizontal="center" vertical="center" wrapText="1"/>
    </xf>
    <xf numFmtId="164" fontId="12" fillId="0" borderId="0" xfId="28" applyFont="1" applyFill="1" applyBorder="1" applyAlignment="1">
      <alignment horizontal="center" vertical="center" wrapText="1"/>
    </xf>
    <xf numFmtId="0" fontId="26" fillId="0" borderId="4" xfId="1" applyNumberFormat="1" applyFont="1" applyFill="1" applyBorder="1" applyAlignment="1">
      <alignment horizontal="center" vertical="center" wrapText="1"/>
    </xf>
    <xf numFmtId="164" fontId="27" fillId="0" borderId="3" xfId="28" applyFont="1" applyFill="1" applyBorder="1" applyAlignment="1">
      <alignment horizontal="center" vertical="center" wrapText="1"/>
    </xf>
    <xf numFmtId="0" fontId="16" fillId="0" borderId="0" xfId="1" applyNumberFormat="1" applyFont="1" applyBorder="1" applyAlignment="1">
      <alignment horizontal="center" vertical="center" wrapText="1"/>
    </xf>
    <xf numFmtId="9" fontId="16" fillId="0" borderId="0" xfId="29" applyFont="1" applyBorder="1" applyAlignment="1">
      <alignment horizontal="center" vertical="center" wrapText="1"/>
    </xf>
    <xf numFmtId="164" fontId="17" fillId="8" borderId="3" xfId="28" applyFont="1" applyFill="1" applyBorder="1" applyAlignment="1">
      <alignment horizontal="center" vertical="center" wrapText="1"/>
    </xf>
    <xf numFmtId="0" fontId="25" fillId="7" borderId="12" xfId="17" applyNumberFormat="1" applyFont="1" applyFill="1" applyBorder="1" applyAlignment="1">
      <alignment horizontal="center" vertical="center" wrapText="1"/>
    </xf>
    <xf numFmtId="0" fontId="16" fillId="12" borderId="12" xfId="1" applyNumberFormat="1" applyFont="1" applyFill="1" applyBorder="1" applyAlignment="1">
      <alignment horizontal="center" vertical="center" wrapText="1"/>
    </xf>
    <xf numFmtId="0" fontId="10" fillId="12" borderId="13" xfId="1" applyNumberFormat="1" applyFont="1" applyFill="1" applyBorder="1" applyAlignment="1">
      <alignment horizontal="center" vertical="center"/>
    </xf>
    <xf numFmtId="0" fontId="10" fillId="12" borderId="14" xfId="1" applyNumberFormat="1" applyFont="1" applyFill="1" applyBorder="1" applyAlignment="1">
      <alignment horizontal="center" vertical="center"/>
    </xf>
    <xf numFmtId="0" fontId="10" fillId="12" borderId="15" xfId="1" applyNumberFormat="1" applyFont="1" applyFill="1" applyBorder="1" applyAlignment="1">
      <alignment horizontal="center" vertical="center"/>
    </xf>
    <xf numFmtId="0" fontId="16" fillId="12" borderId="16" xfId="0" applyFont="1" applyFill="1" applyBorder="1" applyAlignment="1">
      <alignment horizontal="center" vertical="center"/>
    </xf>
    <xf numFmtId="0" fontId="16" fillId="0" borderId="17" xfId="1" applyNumberFormat="1" applyFont="1" applyBorder="1" applyAlignment="1">
      <alignment horizontal="center" vertical="center"/>
    </xf>
    <xf numFmtId="1" fontId="16" fillId="12" borderId="18" xfId="0" applyNumberFormat="1" applyFont="1" applyFill="1" applyBorder="1" applyAlignment="1">
      <alignment horizontal="center" vertical="center"/>
    </xf>
    <xf numFmtId="0" fontId="16" fillId="12" borderId="18" xfId="1" applyNumberFormat="1" applyFont="1" applyFill="1" applyBorder="1" applyAlignment="1">
      <alignment horizontal="center" vertical="center"/>
    </xf>
    <xf numFmtId="0" fontId="16" fillId="12" borderId="19" xfId="1" applyNumberFormat="1" applyFont="1" applyFill="1" applyBorder="1" applyAlignment="1">
      <alignment horizontal="center" vertical="center"/>
    </xf>
    <xf numFmtId="0" fontId="25" fillId="9" borderId="12" xfId="17" applyNumberFormat="1" applyFont="1" applyFill="1" applyBorder="1" applyAlignment="1">
      <alignment horizontal="center" vertical="center" wrapText="1"/>
    </xf>
    <xf numFmtId="0" fontId="9" fillId="13" borderId="12" xfId="1" applyNumberFormat="1" applyFont="1" applyFill="1" applyBorder="1" applyAlignment="1">
      <alignment horizontal="left" vertical="center" wrapText="1"/>
    </xf>
    <xf numFmtId="164" fontId="9" fillId="13" borderId="12" xfId="28" applyFont="1" applyFill="1" applyBorder="1" applyAlignment="1">
      <alignment horizontal="center" vertical="center" wrapText="1"/>
    </xf>
    <xf numFmtId="165" fontId="9" fillId="13" borderId="12" xfId="1" applyNumberFormat="1" applyFont="1" applyFill="1" applyBorder="1" applyAlignment="1">
      <alignment horizontal="center" vertical="center" wrapText="1"/>
    </xf>
    <xf numFmtId="0" fontId="9" fillId="13" borderId="12" xfId="1" applyNumberFormat="1" applyFont="1" applyFill="1" applyBorder="1" applyAlignment="1">
      <alignment horizontal="left" vertical="center"/>
    </xf>
    <xf numFmtId="164" fontId="9" fillId="13" borderId="12" xfId="28" applyFont="1" applyFill="1" applyBorder="1" applyAlignment="1">
      <alignment horizontal="center" vertical="center"/>
    </xf>
    <xf numFmtId="0" fontId="28" fillId="4" borderId="12" xfId="17" applyNumberFormat="1" applyFont="1" applyFill="1" applyBorder="1" applyAlignment="1">
      <alignment horizontal="center" vertical="center" wrapText="1"/>
    </xf>
    <xf numFmtId="171" fontId="13" fillId="14" borderId="12" xfId="0" applyNumberFormat="1" applyFont="1" applyFill="1" applyBorder="1" applyAlignment="1">
      <alignment horizontal="center" vertical="center"/>
    </xf>
    <xf numFmtId="0" fontId="13" fillId="14" borderId="12" xfId="0" applyFont="1" applyFill="1" applyBorder="1" applyAlignment="1">
      <alignment horizontal="center" vertical="center"/>
    </xf>
    <xf numFmtId="1" fontId="13" fillId="14" borderId="12" xfId="0" applyNumberFormat="1" applyFont="1" applyFill="1" applyBorder="1" applyAlignment="1">
      <alignment horizontal="center" vertical="center"/>
    </xf>
    <xf numFmtId="2" fontId="13" fillId="14" borderId="12" xfId="0" applyNumberFormat="1" applyFont="1" applyFill="1" applyBorder="1" applyAlignment="1">
      <alignment horizontal="center" vertical="center"/>
    </xf>
    <xf numFmtId="0" fontId="9" fillId="14" borderId="12" xfId="1" applyNumberFormat="1" applyFont="1" applyFill="1" applyBorder="1" applyAlignment="1">
      <alignment horizontal="center" vertical="center" wrapText="1"/>
    </xf>
    <xf numFmtId="0" fontId="23" fillId="11" borderId="21" xfId="0" applyFont="1" applyFill="1" applyBorder="1" applyAlignment="1">
      <alignment horizontal="center" vertical="center"/>
    </xf>
    <xf numFmtId="164" fontId="9" fillId="0" borderId="21" xfId="34" applyNumberFormat="1" applyFont="1" applyBorder="1" applyAlignment="1">
      <alignment horizontal="center" vertical="center"/>
    </xf>
    <xf numFmtId="0" fontId="9" fillId="0" borderId="21" xfId="0" applyFont="1" applyBorder="1" applyAlignment="1">
      <alignment horizontal="center" vertical="center"/>
    </xf>
    <xf numFmtId="9" fontId="24" fillId="0" borderId="21" xfId="29" applyFont="1" applyFill="1" applyBorder="1" applyAlignment="1">
      <alignment horizontal="center" vertical="center"/>
    </xf>
    <xf numFmtId="164" fontId="9" fillId="0" borderId="21" xfId="28" applyFont="1" applyBorder="1" applyAlignment="1">
      <alignment horizontal="center" vertical="center"/>
    </xf>
    <xf numFmtId="0" fontId="10" fillId="11" borderId="21" xfId="0" applyFont="1" applyFill="1" applyBorder="1" applyAlignment="1">
      <alignment horizontal="center" vertical="center"/>
    </xf>
    <xf numFmtId="1" fontId="16" fillId="0" borderId="5" xfId="0" applyNumberFormat="1" applyFont="1" applyFill="1" applyBorder="1" applyAlignment="1">
      <alignment vertical="center"/>
    </xf>
    <xf numFmtId="14" fontId="16" fillId="12" borderId="12" xfId="1" applyNumberFormat="1" applyFont="1" applyFill="1" applyBorder="1" applyAlignment="1">
      <alignment horizontal="center" vertical="center" wrapText="1"/>
    </xf>
    <xf numFmtId="164" fontId="16" fillId="12" borderId="12" xfId="28" applyFont="1" applyFill="1" applyBorder="1" applyAlignment="1">
      <alignment horizontal="center" vertical="center" wrapText="1"/>
    </xf>
    <xf numFmtId="1" fontId="29" fillId="0" borderId="4" xfId="0" applyNumberFormat="1" applyFont="1" applyFill="1" applyBorder="1" applyAlignment="1">
      <alignment vertical="center"/>
    </xf>
    <xf numFmtId="0" fontId="30" fillId="12" borderId="12" xfId="1" applyNumberFormat="1" applyFont="1" applyFill="1" applyBorder="1" applyAlignment="1">
      <alignment horizontal="center" vertical="center" wrapText="1"/>
    </xf>
    <xf numFmtId="0" fontId="16" fillId="12" borderId="12" xfId="28" applyNumberFormat="1" applyFont="1" applyFill="1" applyBorder="1" applyAlignment="1">
      <alignment horizontal="center" vertical="center" wrapText="1"/>
    </xf>
    <xf numFmtId="0" fontId="9" fillId="13" borderId="12" xfId="1" applyNumberFormat="1" applyFont="1" applyFill="1" applyBorder="1" applyAlignment="1">
      <alignment horizontal="center" vertical="center" wrapText="1"/>
    </xf>
    <xf numFmtId="0" fontId="16" fillId="0" borderId="0" xfId="1" applyFont="1" applyBorder="1" applyAlignment="1">
      <alignment horizontal="center" vertical="center"/>
    </xf>
    <xf numFmtId="0" fontId="9" fillId="13" borderId="24" xfId="1" applyNumberFormat="1" applyFont="1" applyFill="1" applyBorder="1" applyAlignment="1">
      <alignment horizontal="center" vertical="center" wrapText="1"/>
    </xf>
    <xf numFmtId="0" fontId="8" fillId="0" borderId="24" xfId="1" applyFont="1" applyFill="1" applyBorder="1" applyAlignment="1">
      <alignment vertical="center"/>
    </xf>
    <xf numFmtId="0" fontId="0" fillId="0" borderId="0" xfId="0" applyAlignment="1">
      <alignment horizontal="center"/>
    </xf>
    <xf numFmtId="0" fontId="0" fillId="0" borderId="0" xfId="0" applyAlignment="1"/>
    <xf numFmtId="0" fontId="0" fillId="0" borderId="25" xfId="0" applyBorder="1"/>
    <xf numFmtId="0" fontId="0" fillId="0" borderId="26" xfId="0" applyBorder="1"/>
    <xf numFmtId="0" fontId="0" fillId="0" borderId="27" xfId="0" applyBorder="1"/>
    <xf numFmtId="0" fontId="0" fillId="0" borderId="28" xfId="0" applyBorder="1"/>
    <xf numFmtId="0" fontId="0" fillId="0" borderId="0" xfId="0" applyBorder="1"/>
    <xf numFmtId="0" fontId="0" fillId="0" borderId="29" xfId="0" applyBorder="1"/>
    <xf numFmtId="0" fontId="0" fillId="0" borderId="30" xfId="0" applyBorder="1"/>
    <xf numFmtId="0" fontId="0" fillId="0" borderId="24" xfId="0" applyBorder="1"/>
    <xf numFmtId="0" fontId="0" fillId="0" borderId="31" xfId="0" applyBorder="1"/>
    <xf numFmtId="0" fontId="0" fillId="0" borderId="0" xfId="0" applyFill="1" applyBorder="1" applyAlignment="1">
      <alignment horizontal="center" vertical="center"/>
    </xf>
    <xf numFmtId="14" fontId="0" fillId="0" borderId="0" xfId="0" applyNumberFormat="1" applyFill="1" applyBorder="1" applyAlignment="1">
      <alignment horizontal="center" vertical="center"/>
    </xf>
    <xf numFmtId="164" fontId="0" fillId="0" borderId="0" xfId="28" applyFont="1"/>
    <xf numFmtId="0" fontId="8" fillId="0" borderId="0" xfId="1" applyNumberFormat="1" applyFont="1" applyBorder="1" applyAlignment="1">
      <alignment horizontal="center" vertical="center"/>
    </xf>
    <xf numFmtId="0" fontId="28" fillId="4" borderId="10" xfId="17" applyNumberFormat="1" applyFont="1" applyFill="1" applyBorder="1" applyAlignment="1">
      <alignment horizontal="center" vertical="center" wrapText="1"/>
    </xf>
    <xf numFmtId="0" fontId="28" fillId="4" borderId="11" xfId="17" applyNumberFormat="1" applyFont="1" applyFill="1" applyBorder="1" applyAlignment="1">
      <alignment horizontal="center" vertical="center" wrapText="1"/>
    </xf>
    <xf numFmtId="0" fontId="10" fillId="10" borderId="20" xfId="0" applyFont="1" applyFill="1" applyBorder="1" applyAlignment="1">
      <alignment horizontal="center" vertical="center"/>
    </xf>
    <xf numFmtId="164" fontId="9" fillId="0" borderId="20" xfId="0" applyNumberFormat="1" applyFont="1" applyBorder="1" applyAlignment="1">
      <alignment horizontal="center" vertical="center"/>
    </xf>
    <xf numFmtId="0" fontId="9" fillId="0" borderId="0" xfId="1" applyNumberFormat="1" applyFont="1" applyFill="1" applyBorder="1" applyAlignment="1">
      <alignment horizontal="center" vertical="center" wrapText="1"/>
    </xf>
    <xf numFmtId="0" fontId="24" fillId="6" borderId="20" xfId="0" applyFont="1" applyFill="1" applyBorder="1" applyAlignment="1">
      <alignment horizontal="center" vertical="center"/>
    </xf>
    <xf numFmtId="0" fontId="23" fillId="10" borderId="20" xfId="0" applyFont="1" applyFill="1" applyBorder="1" applyAlignment="1">
      <alignment horizontal="center" vertical="center"/>
    </xf>
    <xf numFmtId="0" fontId="17" fillId="0" borderId="0" xfId="0" applyFont="1" applyFill="1" applyBorder="1" applyAlignment="1">
      <alignment horizontal="center" vertical="center"/>
    </xf>
    <xf numFmtId="0" fontId="16" fillId="0" borderId="0" xfId="1" applyNumberFormat="1" applyFont="1" applyFill="1" applyBorder="1" applyAlignment="1">
      <alignment horizontal="center" vertical="center" wrapText="1"/>
    </xf>
    <xf numFmtId="0" fontId="25" fillId="7" borderId="22" xfId="17" applyNumberFormat="1" applyFont="1" applyFill="1" applyBorder="1" applyAlignment="1">
      <alignment horizontal="center" vertical="center" wrapText="1"/>
    </xf>
    <xf numFmtId="0" fontId="25" fillId="7" borderId="23" xfId="17" applyNumberFormat="1" applyFont="1" applyFill="1" applyBorder="1" applyAlignment="1">
      <alignment horizontal="center" vertical="center" wrapText="1"/>
    </xf>
    <xf numFmtId="0" fontId="25" fillId="9" borderId="9" xfId="17" applyNumberFormat="1" applyFont="1" applyFill="1" applyBorder="1" applyAlignment="1">
      <alignment horizontal="center" vertical="center" wrapText="1"/>
    </xf>
    <xf numFmtId="0" fontId="25" fillId="9" borderId="22" xfId="17" applyNumberFormat="1" applyFont="1" applyFill="1" applyBorder="1" applyAlignment="1">
      <alignment horizontal="center" vertical="center" wrapText="1"/>
    </xf>
    <xf numFmtId="0" fontId="25" fillId="9" borderId="23" xfId="17" applyNumberFormat="1" applyFont="1" applyFill="1" applyBorder="1" applyAlignment="1">
      <alignment horizontal="center" vertical="center" wrapText="1"/>
    </xf>
    <xf numFmtId="0" fontId="25" fillId="15" borderId="0" xfId="0" applyFont="1" applyFill="1" applyBorder="1" applyAlignment="1">
      <alignment horizontal="center" vertical="center"/>
    </xf>
    <xf numFmtId="9" fontId="16" fillId="12" borderId="12" xfId="29" applyFont="1" applyFill="1" applyBorder="1" applyAlignment="1">
      <alignment horizontal="center" vertical="center" wrapText="1"/>
    </xf>
    <xf numFmtId="164" fontId="16" fillId="0" borderId="0" xfId="28" applyFont="1" applyAlignment="1">
      <alignment horizontal="center" vertical="center"/>
    </xf>
    <xf numFmtId="164" fontId="25" fillId="7" borderId="12" xfId="28" applyFont="1" applyFill="1" applyBorder="1" applyAlignment="1">
      <alignment horizontal="center" vertical="center" wrapText="1"/>
    </xf>
    <xf numFmtId="164" fontId="16" fillId="0" borderId="0" xfId="28" applyFont="1" applyBorder="1" applyAlignment="1">
      <alignment horizontal="center" vertical="center" wrapText="1"/>
    </xf>
    <xf numFmtId="164" fontId="16" fillId="12" borderId="16" xfId="28" applyFont="1" applyFill="1" applyBorder="1" applyAlignment="1">
      <alignment horizontal="center" vertical="center"/>
    </xf>
    <xf numFmtId="164" fontId="16" fillId="12" borderId="18" xfId="28" applyFont="1" applyFill="1" applyBorder="1" applyAlignment="1">
      <alignment horizontal="center" vertical="center"/>
    </xf>
    <xf numFmtId="164" fontId="16" fillId="12" borderId="19" xfId="28" applyFont="1" applyFill="1" applyBorder="1" applyAlignment="1">
      <alignment horizontal="center" vertical="center"/>
    </xf>
    <xf numFmtId="9" fontId="16" fillId="0" borderId="0" xfId="29" applyFont="1" applyAlignment="1">
      <alignment horizontal="center" vertical="center"/>
    </xf>
    <xf numFmtId="9" fontId="25" fillId="7" borderId="12" xfId="29" applyFont="1" applyFill="1" applyBorder="1" applyAlignment="1">
      <alignment horizontal="center" vertical="center" wrapText="1"/>
    </xf>
    <xf numFmtId="9" fontId="16" fillId="12" borderId="16" xfId="29" applyFont="1" applyFill="1" applyBorder="1" applyAlignment="1">
      <alignment horizontal="center" vertical="center"/>
    </xf>
    <xf numFmtId="9" fontId="16" fillId="12" borderId="18" xfId="29" applyFont="1" applyFill="1" applyBorder="1" applyAlignment="1">
      <alignment horizontal="center" vertical="center"/>
    </xf>
    <xf numFmtId="9" fontId="16" fillId="12" borderId="19" xfId="29" applyFont="1" applyFill="1" applyBorder="1" applyAlignment="1">
      <alignment horizontal="center" vertical="center"/>
    </xf>
    <xf numFmtId="164" fontId="31" fillId="0" borderId="0" xfId="28" applyFont="1" applyAlignment="1">
      <alignment horizontal="center" vertical="center"/>
    </xf>
    <xf numFmtId="10" fontId="32" fillId="8" borderId="3" xfId="29" applyNumberFormat="1" applyFont="1" applyFill="1" applyBorder="1" applyAlignment="1">
      <alignment horizontal="center" vertical="center" wrapText="1"/>
    </xf>
  </cellXfs>
  <cellStyles count="39">
    <cellStyle name="Anderson" xfId="2" xr:uid="{00000000-0005-0000-0000-000000000000}"/>
    <cellStyle name="Comma [0]" xfId="3" xr:uid="{00000000-0005-0000-0000-000001000000}"/>
    <cellStyle name="Currency [0]" xfId="4" xr:uid="{00000000-0005-0000-0000-000002000000}"/>
    <cellStyle name="Gastos" xfId="5" xr:uid="{00000000-0005-0000-0000-000003000000}"/>
    <cellStyle name="Heading" xfId="6" xr:uid="{00000000-0005-0000-0000-000004000000}"/>
    <cellStyle name="Moeda" xfId="28" builtinId="4"/>
    <cellStyle name="Moeda 10" xfId="34" xr:uid="{00000000-0005-0000-0000-000006000000}"/>
    <cellStyle name="Moeda 11" xfId="37" xr:uid="{00000000-0005-0000-0000-000053000000}"/>
    <cellStyle name="Moeda 2" xfId="7" xr:uid="{00000000-0005-0000-0000-000007000000}"/>
    <cellStyle name="Moeda 2 2" xfId="38" xr:uid="{00000000-0005-0000-0000-000001000000}"/>
    <cellStyle name="Moeda 3" xfId="8" xr:uid="{00000000-0005-0000-0000-000008000000}"/>
    <cellStyle name="Moeda 3 2" xfId="9" xr:uid="{00000000-0005-0000-0000-000009000000}"/>
    <cellStyle name="Moeda 4" xfId="10" xr:uid="{00000000-0005-0000-0000-00000A000000}"/>
    <cellStyle name="Moeda 4 2" xfId="11" xr:uid="{00000000-0005-0000-0000-00000B000000}"/>
    <cellStyle name="Moeda 5" xfId="12" xr:uid="{00000000-0005-0000-0000-00000C000000}"/>
    <cellStyle name="Moeda 5 2" xfId="13" xr:uid="{00000000-0005-0000-0000-00000D000000}"/>
    <cellStyle name="Moeda 5 3" xfId="14" xr:uid="{00000000-0005-0000-0000-00000E000000}"/>
    <cellStyle name="Moeda 6" xfId="15" xr:uid="{00000000-0005-0000-0000-00000F000000}"/>
    <cellStyle name="Moeda 7" xfId="16" xr:uid="{00000000-0005-0000-0000-000010000000}"/>
    <cellStyle name="Moeda 7 2" xfId="31" xr:uid="{00000000-0005-0000-0000-000011000000}"/>
    <cellStyle name="Moeda 8" xfId="17" xr:uid="{00000000-0005-0000-0000-000012000000}"/>
    <cellStyle name="Moeda 9" xfId="33" xr:uid="{00000000-0005-0000-0000-000013000000}"/>
    <cellStyle name="Normal" xfId="0" builtinId="0"/>
    <cellStyle name="Normal 2" xfId="1" xr:uid="{00000000-0005-0000-0000-000018000000}"/>
    <cellStyle name="Normal 2 2" xfId="35" xr:uid="{00000000-0005-0000-0000-000019000000}"/>
    <cellStyle name="Normal 3" xfId="18" xr:uid="{00000000-0005-0000-0000-00001A000000}"/>
    <cellStyle name="Normal 3 2" xfId="19" xr:uid="{00000000-0005-0000-0000-00001B000000}"/>
    <cellStyle name="Normal 3 3" xfId="36" xr:uid="{00000000-0005-0000-0000-000004000000}"/>
    <cellStyle name="Porcentagem" xfId="29" builtinId="5"/>
    <cellStyle name="Porcentagem 2" xfId="20" xr:uid="{00000000-0005-0000-0000-00001D000000}"/>
    <cellStyle name="Porcentagem 2 2" xfId="21" xr:uid="{00000000-0005-0000-0000-00001E000000}"/>
    <cellStyle name="Porcentagem 3" xfId="22" xr:uid="{00000000-0005-0000-0000-00001F000000}"/>
    <cellStyle name="Separador de milhares 2" xfId="23" xr:uid="{00000000-0005-0000-0000-000020000000}"/>
    <cellStyle name="Separador de milhares 2 2" xfId="24" xr:uid="{00000000-0005-0000-0000-000021000000}"/>
    <cellStyle name="Separador de milhares 2 3" xfId="25" xr:uid="{00000000-0005-0000-0000-000022000000}"/>
    <cellStyle name="Separador de milhares 3" xfId="26" xr:uid="{00000000-0005-0000-0000-000023000000}"/>
    <cellStyle name="Separador de milhares 4" xfId="32" xr:uid="{00000000-0005-0000-0000-000024000000}"/>
    <cellStyle name="Separador de milhares 5" xfId="30" xr:uid="{00000000-0005-0000-0000-000025000000}"/>
    <cellStyle name="Vírgula 2" xfId="27" xr:uid="{00000000-0005-0000-0000-000027000000}"/>
  </cellStyles>
  <dxfs count="2">
    <dxf>
      <border>
        <top style="thin">
          <color auto="1"/>
        </top>
        <bottom style="thin">
          <color auto="1"/>
        </bottom>
        <horizontal/>
      </border>
    </dxf>
    <dxf>
      <border>
        <vertical style="thin">
          <color auto="1"/>
        </vertical>
        <horizontal style="thin">
          <color auto="1"/>
        </horizontal>
      </border>
    </dxf>
  </dxfs>
  <tableStyles count="1" defaultTableStyle="TableStyleMedium2" defaultPivotStyle="PivotStyleLight16">
    <tableStyle name="Estilo de Tabela 1" pivot="0" count="2" xr9:uid="{00000000-0011-0000-FFFF-FFFF00000000}">
      <tableStyleElement type="wholeTable" dxfId="1"/>
      <tableStyleElement type="firstRowStripe" dxfId="0"/>
    </tableStyle>
  </tableStyles>
  <colors>
    <mruColors>
      <color rgb="FF2AA62A"/>
      <color rgb="FF39BFB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https://pt.wikiversity.org/wiki/Educa%C3%A7%C3%A3o_Aberta/Instagram" TargetMode="External"/><Relationship Id="rId13" Type="http://schemas.openxmlformats.org/officeDocument/2006/relationships/image" Target="../media/image6.png"/><Relationship Id="rId18" Type="http://schemas.openxmlformats.org/officeDocument/2006/relationships/hyperlink" Target="#'1'!A1"/><Relationship Id="rId3" Type="http://schemas.openxmlformats.org/officeDocument/2006/relationships/image" Target="../media/image2.png"/><Relationship Id="rId7" Type="http://schemas.openxmlformats.org/officeDocument/2006/relationships/image" Target="../media/image4.png"/><Relationship Id="rId12" Type="http://schemas.openxmlformats.org/officeDocument/2006/relationships/hyperlink" Target="https://www.youtube.com/channel/UCycJn0D_24e2IgOOvop07Vg" TargetMode="External"/><Relationship Id="rId17" Type="http://schemas.openxmlformats.org/officeDocument/2006/relationships/hyperlink" Target="https://es.wikipedia.org/wiki/Blogger" TargetMode="External"/><Relationship Id="rId2" Type="http://schemas.openxmlformats.org/officeDocument/2006/relationships/hyperlink" Target="https://www.facebook.com/itexbr" TargetMode="External"/><Relationship Id="rId16"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hyperlink" Target="http://www.instagram.com/itexbr" TargetMode="External"/><Relationship Id="rId11" Type="http://schemas.openxmlformats.org/officeDocument/2006/relationships/hyperlink" Target="https://en.wikipedia.org/wiki/Timeline_of_LinkedIn" TargetMode="External"/><Relationship Id="rId5" Type="http://schemas.openxmlformats.org/officeDocument/2006/relationships/image" Target="../media/image3.png"/><Relationship Id="rId15" Type="http://schemas.openxmlformats.org/officeDocument/2006/relationships/hyperlink" Target="http://www.itexbr.com/blog" TargetMode="External"/><Relationship Id="rId10" Type="http://schemas.openxmlformats.org/officeDocument/2006/relationships/image" Target="../media/image5.png"/><Relationship Id="rId19" Type="http://schemas.openxmlformats.org/officeDocument/2006/relationships/image" Target="../media/image8.png"/><Relationship Id="rId4" Type="http://schemas.openxmlformats.org/officeDocument/2006/relationships/hyperlink" Target="mailto:administrativo@itexbr.com" TargetMode="External"/><Relationship Id="rId9" Type="http://schemas.openxmlformats.org/officeDocument/2006/relationships/hyperlink" Target="http://www.linkedin.com/company/itex-tecnologia" TargetMode="External"/><Relationship Id="rId14" Type="http://schemas.openxmlformats.org/officeDocument/2006/relationships/hyperlink" Target="https://commons.wikimedia.org/wiki/File:YouTube_logo_(2013-2015).png"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svg"/><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4.png"/><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7.svg"/><Relationship Id="rId1" Type="http://schemas.openxmlformats.org/officeDocument/2006/relationships/image" Target="../media/image16.png"/><Relationship Id="rId5" Type="http://schemas.openxmlformats.org/officeDocument/2006/relationships/image" Target="../media/image19.svg"/><Relationship Id="rId4"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21.svg"/><Relationship Id="rId2" Type="http://schemas.openxmlformats.org/officeDocument/2006/relationships/image" Target="../media/image20.png"/><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3" Type="http://schemas.openxmlformats.org/officeDocument/2006/relationships/image" Target="../media/image23.svg"/><Relationship Id="rId2" Type="http://schemas.openxmlformats.org/officeDocument/2006/relationships/image" Target="../media/image22.png"/><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3" Type="http://schemas.openxmlformats.org/officeDocument/2006/relationships/image" Target="../media/image23.svg"/><Relationship Id="rId2" Type="http://schemas.openxmlformats.org/officeDocument/2006/relationships/image" Target="../media/image22.png"/><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156886</xdr:rowOff>
    </xdr:from>
    <xdr:to>
      <xdr:col>8</xdr:col>
      <xdr:colOff>265579</xdr:colOff>
      <xdr:row>32</xdr:row>
      <xdr:rowOff>33617</xdr:rowOff>
    </xdr:to>
    <xdr:sp macro="" textlink="">
      <xdr:nvSpPr>
        <xdr:cNvPr id="2" name="CaixaDeTexto 1">
          <a:extLst>
            <a:ext uri="{FF2B5EF4-FFF2-40B4-BE49-F238E27FC236}">
              <a16:creationId xmlns:a16="http://schemas.microsoft.com/office/drawing/2014/main" id="{3BDFEDD3-CFC0-4B01-8E54-FFCA1E807F50}"/>
            </a:ext>
          </a:extLst>
        </xdr:cNvPr>
        <xdr:cNvSpPr txBox="1"/>
      </xdr:nvSpPr>
      <xdr:spPr>
        <a:xfrm>
          <a:off x="246529" y="1736915"/>
          <a:ext cx="4501403" cy="42582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Está à procura de um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estágio</a:t>
          </a: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 Passar numa prova que exija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Excel</a:t>
          </a: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Testar</a:t>
          </a:r>
          <a:r>
            <a:rPr kumimoji="0" lang="pt-BR" sz="1500" b="1"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seu</a:t>
          </a:r>
          <a:r>
            <a:rPr kumimoji="0" lang="pt-BR" sz="1500" b="1"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conhecimento</a:t>
          </a:r>
          <a:r>
            <a:rPr kumimoji="0" lang="pt-BR" sz="1500" b="1"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na ferramenta?</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Este é um presente especial pra você que realizou o teste online da Itex. Nele você vai conseguir testar seus conhecimentos mais a fundo, além de se preparar para qualquer prova que exija conhecimentos em Excel.</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Normalmente, esse teste deve ser realizado em torno de 30 a 45 minutos. Mas não se preocupe com isso por enquanto. O importante aqui é praticar o conteúdo.</a:t>
          </a:r>
        </a:p>
        <a:p>
          <a:endParaRPr lang="pt-BR" sz="1500" b="0" baseline="0">
            <a:solidFill>
              <a:schemeClr val="tx1">
                <a:lumMod val="75000"/>
                <a:lumOff val="25000"/>
              </a:schemeClr>
            </a:solidFill>
            <a:latin typeface="Open Sans" panose="020B0606030504020204" pitchFamily="34" charset="0"/>
            <a:ea typeface="Open Sans" panose="020B0606030504020204" pitchFamily="34" charset="0"/>
            <a:cs typeface="Open Sans" panose="020B0606030504020204" pitchFamily="34" charset="0"/>
          </a:endParaRPr>
        </a:p>
        <a:p>
          <a:endParaRPr lang="pt-BR" sz="1500" b="0" baseline="0">
            <a:solidFill>
              <a:schemeClr val="tx1">
                <a:lumMod val="75000"/>
                <a:lumOff val="25000"/>
              </a:schemeClr>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4</xdr:col>
      <xdr:colOff>369794</xdr:colOff>
      <xdr:row>1</xdr:row>
      <xdr:rowOff>22411</xdr:rowOff>
    </xdr:from>
    <xdr:to>
      <xdr:col>7</xdr:col>
      <xdr:colOff>493059</xdr:colOff>
      <xdr:row>2</xdr:row>
      <xdr:rowOff>179294</xdr:rowOff>
    </xdr:to>
    <xdr:sp macro="" textlink="">
      <xdr:nvSpPr>
        <xdr:cNvPr id="4" name="CaixaDeTexto 3">
          <a:extLst>
            <a:ext uri="{FF2B5EF4-FFF2-40B4-BE49-F238E27FC236}">
              <a16:creationId xmlns:a16="http://schemas.microsoft.com/office/drawing/2014/main" id="{D077F872-F919-4BE5-8FE1-13502A295B51}"/>
            </a:ext>
          </a:extLst>
        </xdr:cNvPr>
        <xdr:cNvSpPr txBox="1"/>
      </xdr:nvSpPr>
      <xdr:spPr>
        <a:xfrm>
          <a:off x="2431676" y="212911"/>
          <a:ext cx="1938618"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800" b="0" baseline="0">
              <a:solidFill>
                <a:schemeClr val="tx1">
                  <a:lumMod val="75000"/>
                  <a:lumOff val="25000"/>
                </a:schemeClr>
              </a:solidFill>
              <a:latin typeface="Open sans" panose="020B0606030504020204"/>
            </a:rPr>
            <a:t>Simulado - Excel</a:t>
          </a:r>
          <a:endParaRPr lang="pt-BR" sz="1800" b="1" baseline="0">
            <a:solidFill>
              <a:schemeClr val="accent1">
                <a:lumMod val="75000"/>
              </a:schemeClr>
            </a:solidFill>
            <a:latin typeface="Open sans" panose="020B0606030504020204"/>
          </a:endParaRPr>
        </a:p>
      </xdr:txBody>
    </xdr:sp>
    <xdr:clientData/>
  </xdr:twoCellAnchor>
  <xdr:twoCellAnchor editAs="oneCell">
    <xdr:from>
      <xdr:col>1</xdr:col>
      <xdr:colOff>89648</xdr:colOff>
      <xdr:row>2</xdr:row>
      <xdr:rowOff>177909</xdr:rowOff>
    </xdr:from>
    <xdr:to>
      <xdr:col>3</xdr:col>
      <xdr:colOff>336176</xdr:colOff>
      <xdr:row>5</xdr:row>
      <xdr:rowOff>24775</xdr:rowOff>
    </xdr:to>
    <xdr:pic>
      <xdr:nvPicPr>
        <xdr:cNvPr id="5" name="Imagem 4">
          <a:extLst>
            <a:ext uri="{FF2B5EF4-FFF2-40B4-BE49-F238E27FC236}">
              <a16:creationId xmlns:a16="http://schemas.microsoft.com/office/drawing/2014/main" id="{A18AA1FA-66ED-48B1-9A15-BDBE580BEA8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b="35695"/>
        <a:stretch/>
      </xdr:blipFill>
      <xdr:spPr>
        <a:xfrm>
          <a:off x="336177" y="558909"/>
          <a:ext cx="1456764" cy="418366"/>
        </a:xfrm>
        <a:prstGeom prst="rect">
          <a:avLst/>
        </a:prstGeom>
      </xdr:spPr>
    </xdr:pic>
    <xdr:clientData/>
  </xdr:twoCellAnchor>
  <xdr:twoCellAnchor>
    <xdr:from>
      <xdr:col>4</xdr:col>
      <xdr:colOff>201707</xdr:colOff>
      <xdr:row>0</xdr:row>
      <xdr:rowOff>89648</xdr:rowOff>
    </xdr:from>
    <xdr:to>
      <xdr:col>4</xdr:col>
      <xdr:colOff>201707</xdr:colOff>
      <xdr:row>5</xdr:row>
      <xdr:rowOff>100853</xdr:rowOff>
    </xdr:to>
    <xdr:cxnSp macro="">
      <xdr:nvCxnSpPr>
        <xdr:cNvPr id="6" name="Conector reto 5">
          <a:extLst>
            <a:ext uri="{FF2B5EF4-FFF2-40B4-BE49-F238E27FC236}">
              <a16:creationId xmlns:a16="http://schemas.microsoft.com/office/drawing/2014/main" id="{2B1B3EA6-26C5-4336-97F7-988751D9B486}"/>
            </a:ext>
          </a:extLst>
        </xdr:cNvPr>
        <xdr:cNvCxnSpPr/>
      </xdr:nvCxnSpPr>
      <xdr:spPr>
        <a:xfrm>
          <a:off x="2278157" y="89648"/>
          <a:ext cx="0" cy="963705"/>
        </a:xfrm>
        <a:prstGeom prst="line">
          <a:avLst/>
        </a:prstGeom>
        <a:ln w="190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156879</xdr:colOff>
      <xdr:row>3</xdr:row>
      <xdr:rowOff>6691</xdr:rowOff>
    </xdr:from>
    <xdr:to>
      <xdr:col>18</xdr:col>
      <xdr:colOff>537879</xdr:colOff>
      <xdr:row>5</xdr:row>
      <xdr:rowOff>6691</xdr:rowOff>
    </xdr:to>
    <xdr:pic>
      <xdr:nvPicPr>
        <xdr:cNvPr id="7" name="Imagem 6">
          <a:hlinkClick xmlns:r="http://schemas.openxmlformats.org/officeDocument/2006/relationships" r:id="rId2"/>
          <a:extLst>
            <a:ext uri="{FF2B5EF4-FFF2-40B4-BE49-F238E27FC236}">
              <a16:creationId xmlns:a16="http://schemas.microsoft.com/office/drawing/2014/main" id="{42FCDBAD-2F6E-4705-BB55-C7CBA731F5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690408" y="578191"/>
          <a:ext cx="381000" cy="381000"/>
        </a:xfrm>
        <a:prstGeom prst="rect">
          <a:avLst/>
        </a:prstGeom>
      </xdr:spPr>
    </xdr:pic>
    <xdr:clientData/>
  </xdr:twoCellAnchor>
  <xdr:twoCellAnchor editAs="oneCell">
    <xdr:from>
      <xdr:col>20</xdr:col>
      <xdr:colOff>419099</xdr:colOff>
      <xdr:row>2</xdr:row>
      <xdr:rowOff>179298</xdr:rowOff>
    </xdr:from>
    <xdr:to>
      <xdr:col>21</xdr:col>
      <xdr:colOff>253182</xdr:colOff>
      <xdr:row>5</xdr:row>
      <xdr:rowOff>46998</xdr:rowOff>
    </xdr:to>
    <xdr:pic>
      <xdr:nvPicPr>
        <xdr:cNvPr id="8" name="Imagem 7">
          <a:hlinkClick xmlns:r="http://schemas.openxmlformats.org/officeDocument/2006/relationships" r:id="rId4"/>
          <a:extLst>
            <a:ext uri="{FF2B5EF4-FFF2-40B4-BE49-F238E27FC236}">
              <a16:creationId xmlns:a16="http://schemas.microsoft.com/office/drawing/2014/main" id="{D8DDF746-35A3-4F39-AEC1-6F3E8AE7D43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162864" y="560298"/>
          <a:ext cx="439200" cy="439200"/>
        </a:xfrm>
        <a:prstGeom prst="rect">
          <a:avLst/>
        </a:prstGeom>
      </xdr:spPr>
    </xdr:pic>
    <xdr:clientData/>
  </xdr:twoCellAnchor>
  <xdr:twoCellAnchor>
    <xdr:from>
      <xdr:col>16</xdr:col>
      <xdr:colOff>392207</xdr:colOff>
      <xdr:row>9</xdr:row>
      <xdr:rowOff>78440</xdr:rowOff>
    </xdr:from>
    <xdr:to>
      <xdr:col>25</xdr:col>
      <xdr:colOff>19050</xdr:colOff>
      <xdr:row>28</xdr:row>
      <xdr:rowOff>145677</xdr:rowOff>
    </xdr:to>
    <xdr:sp macro="" textlink="">
      <xdr:nvSpPr>
        <xdr:cNvPr id="9" name="CaixaDeTexto 8">
          <a:extLst>
            <a:ext uri="{FF2B5EF4-FFF2-40B4-BE49-F238E27FC236}">
              <a16:creationId xmlns:a16="http://schemas.microsoft.com/office/drawing/2014/main" id="{4061343C-5EA6-4B80-B02C-ED3981583B80}"/>
            </a:ext>
          </a:extLst>
        </xdr:cNvPr>
        <xdr:cNvSpPr txBox="1"/>
      </xdr:nvSpPr>
      <xdr:spPr>
        <a:xfrm>
          <a:off x="9715501" y="1658469"/>
          <a:ext cx="5072902" cy="3686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Se</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você</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deseja</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mandar</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bem</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no</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Excel</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tirar essa prova de letra e aprender muito mais conteúdos,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acesse</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o</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link</a:t>
          </a:r>
          <a:r>
            <a:rPr kumimoji="0" lang="pt-BR" sz="1500" b="1" i="0" u="none" strike="noStrike" kern="0" cap="none" spc="0" normalizeH="0" baseline="0" noProof="0">
              <a:ln>
                <a:noFill/>
              </a:ln>
              <a:solidFill>
                <a:srgbClr val="2AA62A"/>
              </a:solidFill>
              <a:effectLst/>
              <a:uLnTx/>
              <a:uFillTx/>
              <a:latin typeface="Open Sans" panose="020B0606030504020204" pitchFamily="34" charset="0"/>
              <a:ea typeface="Open Sans" panose="020B0606030504020204" pitchFamily="34" charset="0"/>
              <a:cs typeface="Open Sans" panose="020B0606030504020204" pitchFamily="34" charset="0"/>
            </a:rPr>
            <a:t> </a:t>
          </a:r>
          <a:r>
            <a:rPr kumimoji="0" lang="pt-BR" sz="1500" b="1" i="0" u="none" strike="noStrike" kern="0" cap="none" spc="0" normalizeH="0" baseline="0" noProof="0">
              <a:ln>
                <a:noFill/>
              </a:ln>
              <a:solidFill>
                <a:srgbClr val="00B050"/>
              </a:solidFill>
              <a:effectLst/>
              <a:uLnTx/>
              <a:uFillTx/>
              <a:latin typeface="Open Sans" panose="020B0606030504020204" pitchFamily="34" charset="0"/>
              <a:ea typeface="Open Sans" panose="020B0606030504020204" pitchFamily="34" charset="0"/>
              <a:cs typeface="Open Sans" panose="020B0606030504020204" pitchFamily="34" charset="0"/>
            </a:rPr>
            <a:t>abaixo</a:t>
          </a:r>
          <a:r>
            <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rPr>
            <a:t> que você já vai ficar sabendo do nosso último curso de Excel Essencial de 2019, que abrange estes e muitos outros assuntos.</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500" b="0" i="0" u="none" strike="noStrike" kern="0" cap="none" spc="0" normalizeH="0" baseline="0" noProof="0">
            <a:ln>
              <a:noFill/>
            </a:ln>
            <a:solidFill>
              <a:schemeClr val="tx1">
                <a:lumMod val="75000"/>
                <a:lumOff val="25000"/>
              </a:schemeClr>
            </a:solidFill>
            <a:effectLst/>
            <a:uLnTx/>
            <a:uFillTx/>
            <a:latin typeface="Open Sans" panose="020B0606030504020204" pitchFamily="34" charset="0"/>
            <a:ea typeface="Open Sans" panose="020B0606030504020204" pitchFamily="34" charset="0"/>
            <a:cs typeface="Open Sans" panose="020B0606030504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pt-BR" sz="1600">
              <a:hlinkClick xmlns:r="http://schemas.openxmlformats.org/officeDocument/2006/relationships" r:id=""/>
            </a:rPr>
            <a:t>https://conteudo.itexbr.com/inscricoes-excel-essencial</a:t>
          </a:r>
          <a:endParaRPr lang="pt-BR" sz="1500" b="0" baseline="0">
            <a:solidFill>
              <a:schemeClr val="tx1">
                <a:lumMod val="75000"/>
                <a:lumOff val="25000"/>
              </a:schemeClr>
            </a:solidFill>
            <a:latin typeface="Open Sans" panose="020B0606030504020204" pitchFamily="34" charset="0"/>
            <a:ea typeface="Open Sans" panose="020B0606030504020204" pitchFamily="34" charset="0"/>
            <a:cs typeface="Open Sans" panose="020B0606030504020204" pitchFamily="34" charset="0"/>
          </a:endParaRPr>
        </a:p>
        <a:p>
          <a:endParaRPr lang="pt-BR" sz="1500" b="0" baseline="0">
            <a:solidFill>
              <a:schemeClr val="tx1">
                <a:lumMod val="75000"/>
                <a:lumOff val="25000"/>
              </a:schemeClr>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17</xdr:col>
      <xdr:colOff>129988</xdr:colOff>
      <xdr:row>0</xdr:row>
      <xdr:rowOff>62754</xdr:rowOff>
    </xdr:from>
    <xdr:to>
      <xdr:col>25</xdr:col>
      <xdr:colOff>302559</xdr:colOff>
      <xdr:row>2</xdr:row>
      <xdr:rowOff>89648</xdr:rowOff>
    </xdr:to>
    <xdr:sp macro="" textlink="">
      <xdr:nvSpPr>
        <xdr:cNvPr id="10" name="CaixaDeTexto 9">
          <a:extLst>
            <a:ext uri="{FF2B5EF4-FFF2-40B4-BE49-F238E27FC236}">
              <a16:creationId xmlns:a16="http://schemas.microsoft.com/office/drawing/2014/main" id="{58503444-2ACB-4001-AAA6-323314FA5AF9}"/>
            </a:ext>
          </a:extLst>
        </xdr:cNvPr>
        <xdr:cNvSpPr txBox="1"/>
      </xdr:nvSpPr>
      <xdr:spPr>
        <a:xfrm>
          <a:off x="10058400" y="62754"/>
          <a:ext cx="5013512" cy="407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800" b="1" baseline="0">
              <a:solidFill>
                <a:schemeClr val="tx2">
                  <a:lumMod val="75000"/>
                </a:schemeClr>
              </a:solidFill>
              <a:latin typeface="Open sans" panose="020B0606030504020204"/>
            </a:rPr>
            <a:t>Aproveite e acesse nossas redes:</a:t>
          </a:r>
          <a:endParaRPr lang="pt-BR" sz="1800" b="0" baseline="0">
            <a:solidFill>
              <a:schemeClr val="tx2">
                <a:lumMod val="75000"/>
              </a:schemeClr>
            </a:solidFill>
            <a:latin typeface="Open sans" panose="020B0606030504020204"/>
          </a:endParaRPr>
        </a:p>
      </xdr:txBody>
    </xdr:sp>
    <xdr:clientData/>
  </xdr:twoCellAnchor>
  <xdr:twoCellAnchor editAs="oneCell">
    <xdr:from>
      <xdr:col>17</xdr:col>
      <xdr:colOff>257730</xdr:colOff>
      <xdr:row>3</xdr:row>
      <xdr:rowOff>22412</xdr:rowOff>
    </xdr:from>
    <xdr:to>
      <xdr:col>18</xdr:col>
      <xdr:colOff>34213</xdr:colOff>
      <xdr:row>5</xdr:row>
      <xdr:rowOff>22694</xdr:rowOff>
    </xdr:to>
    <xdr:pic>
      <xdr:nvPicPr>
        <xdr:cNvPr id="11" name="Imagem 10">
          <a:hlinkClick xmlns:r="http://schemas.openxmlformats.org/officeDocument/2006/relationships" r:id="rId6"/>
          <a:extLst>
            <a:ext uri="{FF2B5EF4-FFF2-40B4-BE49-F238E27FC236}">
              <a16:creationId xmlns:a16="http://schemas.microsoft.com/office/drawing/2014/main" id="{E1EBB0B6-923B-4F33-9869-0E298E09BEF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10186142" y="593912"/>
          <a:ext cx="381600" cy="381282"/>
        </a:xfrm>
        <a:prstGeom prst="rect">
          <a:avLst/>
        </a:prstGeom>
      </xdr:spPr>
    </xdr:pic>
    <xdr:clientData/>
  </xdr:twoCellAnchor>
  <xdr:twoCellAnchor editAs="oneCell">
    <xdr:from>
      <xdr:col>19</xdr:col>
      <xdr:colOff>44823</xdr:colOff>
      <xdr:row>3</xdr:row>
      <xdr:rowOff>11205</xdr:rowOff>
    </xdr:from>
    <xdr:to>
      <xdr:col>19</xdr:col>
      <xdr:colOff>426423</xdr:colOff>
      <xdr:row>5</xdr:row>
      <xdr:rowOff>11805</xdr:rowOff>
    </xdr:to>
    <xdr:pic>
      <xdr:nvPicPr>
        <xdr:cNvPr id="14" name="Imagem 13">
          <a:hlinkClick xmlns:r="http://schemas.openxmlformats.org/officeDocument/2006/relationships" r:id="rId9"/>
          <a:extLst>
            <a:ext uri="{FF2B5EF4-FFF2-40B4-BE49-F238E27FC236}">
              <a16:creationId xmlns:a16="http://schemas.microsoft.com/office/drawing/2014/main" id="{E18FCE16-75D1-48E1-BD74-11F0362F048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837473B0-CC2E-450A-ABE3-18F120FF3D39}">
              <a1611:picAttrSrcUrl xmlns:a1611="http://schemas.microsoft.com/office/drawing/2016/11/main" r:id="rId11"/>
            </a:ext>
          </a:extLst>
        </a:blip>
        <a:stretch>
          <a:fillRect/>
        </a:stretch>
      </xdr:blipFill>
      <xdr:spPr>
        <a:xfrm>
          <a:off x="11183470" y="582705"/>
          <a:ext cx="381600" cy="381600"/>
        </a:xfrm>
        <a:prstGeom prst="rect">
          <a:avLst/>
        </a:prstGeom>
      </xdr:spPr>
    </xdr:pic>
    <xdr:clientData/>
  </xdr:twoCellAnchor>
  <xdr:twoCellAnchor editAs="oneCell">
    <xdr:from>
      <xdr:col>21</xdr:col>
      <xdr:colOff>288792</xdr:colOff>
      <xdr:row>2</xdr:row>
      <xdr:rowOff>56031</xdr:rowOff>
    </xdr:from>
    <xdr:to>
      <xdr:col>22</xdr:col>
      <xdr:colOff>369791</xdr:colOff>
      <xdr:row>5</xdr:row>
      <xdr:rowOff>170648</xdr:rowOff>
    </xdr:to>
    <xdr:pic>
      <xdr:nvPicPr>
        <xdr:cNvPr id="29" name="Imagem 28">
          <a:hlinkClick xmlns:r="http://schemas.openxmlformats.org/officeDocument/2006/relationships" r:id="rId12"/>
          <a:extLst>
            <a:ext uri="{FF2B5EF4-FFF2-40B4-BE49-F238E27FC236}">
              <a16:creationId xmlns:a16="http://schemas.microsoft.com/office/drawing/2014/main" id="{C956206D-5D66-40E2-9266-AECB6EB5D15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837473B0-CC2E-450A-ABE3-18F120FF3D39}">
              <a1611:picAttrSrcUrl xmlns:a1611="http://schemas.microsoft.com/office/drawing/2016/11/main" r:id="rId14"/>
            </a:ext>
          </a:extLst>
        </a:blip>
        <a:stretch>
          <a:fillRect/>
        </a:stretch>
      </xdr:blipFill>
      <xdr:spPr>
        <a:xfrm>
          <a:off x="12637674" y="437031"/>
          <a:ext cx="686117" cy="686117"/>
        </a:xfrm>
        <a:prstGeom prst="rect">
          <a:avLst/>
        </a:prstGeom>
      </xdr:spPr>
    </xdr:pic>
    <xdr:clientData/>
  </xdr:twoCellAnchor>
  <xdr:twoCellAnchor editAs="oneCell">
    <xdr:from>
      <xdr:col>19</xdr:col>
      <xdr:colOff>526677</xdr:colOff>
      <xdr:row>3</xdr:row>
      <xdr:rowOff>11206</xdr:rowOff>
    </xdr:from>
    <xdr:to>
      <xdr:col>20</xdr:col>
      <xdr:colOff>303159</xdr:colOff>
      <xdr:row>5</xdr:row>
      <xdr:rowOff>9620</xdr:rowOff>
    </xdr:to>
    <xdr:pic>
      <xdr:nvPicPr>
        <xdr:cNvPr id="32" name="Imagem 31">
          <a:hlinkClick xmlns:r="http://schemas.openxmlformats.org/officeDocument/2006/relationships" r:id="rId15"/>
          <a:extLst>
            <a:ext uri="{FF2B5EF4-FFF2-40B4-BE49-F238E27FC236}">
              <a16:creationId xmlns:a16="http://schemas.microsoft.com/office/drawing/2014/main" id="{A5442EB3-0C4F-48A2-B7FD-23A083A03DC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837473B0-CC2E-450A-ABE3-18F120FF3D39}">
              <a1611:picAttrSrcUrl xmlns:a1611="http://schemas.microsoft.com/office/drawing/2016/11/main" r:id="rId17"/>
            </a:ext>
          </a:extLst>
        </a:blip>
        <a:stretch>
          <a:fillRect/>
        </a:stretch>
      </xdr:blipFill>
      <xdr:spPr>
        <a:xfrm>
          <a:off x="11665324" y="582706"/>
          <a:ext cx="381600" cy="379414"/>
        </a:xfrm>
        <a:prstGeom prst="rect">
          <a:avLst/>
        </a:prstGeom>
      </xdr:spPr>
    </xdr:pic>
    <xdr:clientData/>
  </xdr:twoCellAnchor>
  <xdr:twoCellAnchor>
    <xdr:from>
      <xdr:col>10</xdr:col>
      <xdr:colOff>313765</xdr:colOff>
      <xdr:row>14</xdr:row>
      <xdr:rowOff>179295</xdr:rowOff>
    </xdr:from>
    <xdr:to>
      <xdr:col>14</xdr:col>
      <xdr:colOff>190499</xdr:colOff>
      <xdr:row>18</xdr:row>
      <xdr:rowOff>134471</xdr:rowOff>
    </xdr:to>
    <xdr:sp macro="" textlink="">
      <xdr:nvSpPr>
        <xdr:cNvPr id="37" name="Retângulo: Cantos Arredondados 36">
          <a:hlinkClick xmlns:r="http://schemas.openxmlformats.org/officeDocument/2006/relationships" r:id="rId18"/>
          <a:extLst>
            <a:ext uri="{FF2B5EF4-FFF2-40B4-BE49-F238E27FC236}">
              <a16:creationId xmlns:a16="http://schemas.microsoft.com/office/drawing/2014/main" id="{349E9973-5184-4CB8-955C-347BDFE55551}"/>
            </a:ext>
          </a:extLst>
        </xdr:cNvPr>
        <xdr:cNvSpPr/>
      </xdr:nvSpPr>
      <xdr:spPr>
        <a:xfrm>
          <a:off x="6006353" y="2711824"/>
          <a:ext cx="2297205" cy="717176"/>
        </a:xfrm>
        <a:prstGeom prst="roundRect">
          <a:avLst/>
        </a:prstGeom>
        <a:solidFill>
          <a:srgbClr val="00B050"/>
        </a:solidFill>
        <a:ln>
          <a:solidFill>
            <a:schemeClr val="bg1">
              <a:lumMod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a:t>INICIAR</a:t>
          </a:r>
        </a:p>
      </xdr:txBody>
    </xdr:sp>
    <xdr:clientData/>
  </xdr:twoCellAnchor>
  <xdr:twoCellAnchor editAs="oneCell">
    <xdr:from>
      <xdr:col>0</xdr:col>
      <xdr:colOff>246528</xdr:colOff>
      <xdr:row>0</xdr:row>
      <xdr:rowOff>168090</xdr:rowOff>
    </xdr:from>
    <xdr:to>
      <xdr:col>3</xdr:col>
      <xdr:colOff>470647</xdr:colOff>
      <xdr:row>2</xdr:row>
      <xdr:rowOff>35861</xdr:rowOff>
    </xdr:to>
    <xdr:pic>
      <xdr:nvPicPr>
        <xdr:cNvPr id="39" name="Imagem 38">
          <a:extLst>
            <a:ext uri="{FF2B5EF4-FFF2-40B4-BE49-F238E27FC236}">
              <a16:creationId xmlns:a16="http://schemas.microsoft.com/office/drawing/2014/main" id="{30064F20-8814-42D5-BB7B-F9057EC7ED02}"/>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46528" y="168090"/>
          <a:ext cx="1680884" cy="2487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800100</xdr:colOff>
      <xdr:row>1</xdr:row>
      <xdr:rowOff>47625</xdr:rowOff>
    </xdr:from>
    <xdr:to>
      <xdr:col>9</xdr:col>
      <xdr:colOff>0</xdr:colOff>
      <xdr:row>5</xdr:row>
      <xdr:rowOff>0</xdr:rowOff>
    </xdr:to>
    <xdr:sp macro="" textlink="">
      <xdr:nvSpPr>
        <xdr:cNvPr id="2" name="CaixaDeTexto 1">
          <a:extLst>
            <a:ext uri="{FF2B5EF4-FFF2-40B4-BE49-F238E27FC236}">
              <a16:creationId xmlns:a16="http://schemas.microsoft.com/office/drawing/2014/main" id="{00000000-0008-0000-0200-000002000000}"/>
            </a:ext>
          </a:extLst>
        </xdr:cNvPr>
        <xdr:cNvSpPr txBox="1"/>
      </xdr:nvSpPr>
      <xdr:spPr>
        <a:xfrm>
          <a:off x="1685925" y="257175"/>
          <a:ext cx="7934325" cy="7905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0">
              <a:solidFill>
                <a:schemeClr val="tx1">
                  <a:lumMod val="75000"/>
                  <a:lumOff val="25000"/>
                </a:schemeClr>
              </a:solidFill>
              <a:latin typeface="Open sans" panose="020B0606030504020204"/>
            </a:rPr>
            <a:t>A empresa Itex</a:t>
          </a:r>
          <a:r>
            <a:rPr lang="pt-BR" sz="1200" b="0" baseline="0">
              <a:solidFill>
                <a:schemeClr val="tx1">
                  <a:lumMod val="75000"/>
                  <a:lumOff val="25000"/>
                </a:schemeClr>
              </a:solidFill>
              <a:latin typeface="Open sans" panose="020B0606030504020204"/>
            </a:rPr>
            <a:t> Blocos de Cimentos, precisa de um novo relatório p</a:t>
          </a:r>
          <a:r>
            <a:rPr lang="pt-BR" sz="1200" b="0">
              <a:solidFill>
                <a:schemeClr val="tx1">
                  <a:lumMod val="75000"/>
                  <a:lumOff val="25000"/>
                </a:schemeClr>
              </a:solidFill>
              <a:latin typeface="Open sans" panose="020B0606030504020204"/>
            </a:rPr>
            <a:t>ensando nos resultados</a:t>
          </a:r>
          <a:r>
            <a:rPr lang="pt-BR" sz="1200" b="0" baseline="0">
              <a:solidFill>
                <a:schemeClr val="tx1">
                  <a:lumMod val="75000"/>
                  <a:lumOff val="25000"/>
                </a:schemeClr>
              </a:solidFill>
              <a:latin typeface="Open sans" panose="020B0606030504020204"/>
            </a:rPr>
            <a:t> operacionais. Portanto, complete o quadro de informações de acordo com cada coluna. </a:t>
          </a:r>
          <a:endParaRPr lang="pt-BR" sz="1200" b="0">
            <a:solidFill>
              <a:schemeClr val="tx1">
                <a:lumMod val="75000"/>
                <a:lumOff val="25000"/>
              </a:schemeClr>
            </a:solidFill>
            <a:latin typeface="Open sans" panose="020B0606030504020204"/>
          </a:endParaRPr>
        </a:p>
      </xdr:txBody>
    </xdr:sp>
    <xdr:clientData/>
  </xdr:twoCellAnchor>
  <xdr:twoCellAnchor>
    <xdr:from>
      <xdr:col>2</xdr:col>
      <xdr:colOff>0</xdr:colOff>
      <xdr:row>1</xdr:row>
      <xdr:rowOff>47625</xdr:rowOff>
    </xdr:from>
    <xdr:to>
      <xdr:col>2</xdr:col>
      <xdr:colOff>695325</xdr:colOff>
      <xdr:row>4</xdr:row>
      <xdr:rowOff>138975</xdr:rowOff>
    </xdr:to>
    <xdr:grpSp>
      <xdr:nvGrpSpPr>
        <xdr:cNvPr id="11" name="Agrupar 10">
          <a:extLst>
            <a:ext uri="{FF2B5EF4-FFF2-40B4-BE49-F238E27FC236}">
              <a16:creationId xmlns:a16="http://schemas.microsoft.com/office/drawing/2014/main" id="{10C87F88-E987-450E-A192-B34207A0EE4E}"/>
            </a:ext>
          </a:extLst>
        </xdr:cNvPr>
        <xdr:cNvGrpSpPr/>
      </xdr:nvGrpSpPr>
      <xdr:grpSpPr>
        <a:xfrm>
          <a:off x="960120" y="260985"/>
          <a:ext cx="695325" cy="731430"/>
          <a:chOff x="885825" y="257175"/>
          <a:chExt cx="695325" cy="720000"/>
        </a:xfrm>
      </xdr:grpSpPr>
      <xdr:pic>
        <xdr:nvPicPr>
          <xdr:cNvPr id="3" name="Imagem 2">
            <a:extLst>
              <a:ext uri="{FF2B5EF4-FFF2-40B4-BE49-F238E27FC236}">
                <a16:creationId xmlns:a16="http://schemas.microsoft.com/office/drawing/2014/main" id="{7F592F4A-F483-4F50-AAE6-641218EF15D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r="29455" b="35695"/>
          <a:stretch/>
        </xdr:blipFill>
        <xdr:spPr>
          <a:xfrm>
            <a:off x="885825" y="297543"/>
            <a:ext cx="533400" cy="540657"/>
          </a:xfrm>
          <a:prstGeom prst="rect">
            <a:avLst/>
          </a:prstGeom>
        </xdr:spPr>
      </xdr:pic>
      <xdr:cxnSp macro="">
        <xdr:nvCxnSpPr>
          <xdr:cNvPr id="4" name="Conector reto 3">
            <a:extLst>
              <a:ext uri="{FF2B5EF4-FFF2-40B4-BE49-F238E27FC236}">
                <a16:creationId xmlns:a16="http://schemas.microsoft.com/office/drawing/2014/main" id="{37EB8D6A-00C0-4E39-BAC9-9D30630FE36B}"/>
              </a:ext>
            </a:extLst>
          </xdr:cNvPr>
          <xdr:cNvCxnSpPr/>
        </xdr:nvCxnSpPr>
        <xdr:spPr>
          <a:xfrm>
            <a:off x="1581150" y="257175"/>
            <a:ext cx="0" cy="72000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9</xdr:col>
      <xdr:colOff>123826</xdr:colOff>
      <xdr:row>7</xdr:row>
      <xdr:rowOff>171449</xdr:rowOff>
    </xdr:from>
    <xdr:to>
      <xdr:col>12</xdr:col>
      <xdr:colOff>523875</xdr:colOff>
      <xdr:row>40</xdr:row>
      <xdr:rowOff>161925</xdr:rowOff>
    </xdr:to>
    <xdr:grpSp>
      <xdr:nvGrpSpPr>
        <xdr:cNvPr id="5" name="Agrupar 9">
          <a:extLst>
            <a:ext uri="{FF2B5EF4-FFF2-40B4-BE49-F238E27FC236}">
              <a16:creationId xmlns:a16="http://schemas.microsoft.com/office/drawing/2014/main" id="{6106D839-96A1-44AF-8D65-5202E670917A}"/>
            </a:ext>
          </a:extLst>
        </xdr:cNvPr>
        <xdr:cNvGrpSpPr/>
      </xdr:nvGrpSpPr>
      <xdr:grpSpPr>
        <a:xfrm>
          <a:off x="8604886" y="1664969"/>
          <a:ext cx="3211829" cy="7298056"/>
          <a:chOff x="5391151" y="1695449"/>
          <a:chExt cx="3143249" cy="7181851"/>
        </a:xfrm>
      </xdr:grpSpPr>
      <xdr:sp macro="" textlink="">
        <xdr:nvSpPr>
          <xdr:cNvPr id="8" name="CaixaDeTexto 6">
            <a:extLst>
              <a:ext uri="{FF2B5EF4-FFF2-40B4-BE49-F238E27FC236}">
                <a16:creationId xmlns:a16="http://schemas.microsoft.com/office/drawing/2014/main" id="{1BE695C2-75F6-4534-AFCE-4D07442A3363}"/>
              </a:ext>
            </a:extLst>
          </xdr:cNvPr>
          <xdr:cNvSpPr txBox="1"/>
        </xdr:nvSpPr>
        <xdr:spPr>
          <a:xfrm>
            <a:off x="5391151" y="1695449"/>
            <a:ext cx="2419350" cy="71818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baseline="0">
                <a:solidFill>
                  <a:schemeClr val="accent1">
                    <a:lumMod val="75000"/>
                  </a:schemeClr>
                </a:solidFill>
                <a:latin typeface="Open sans" panose="020B0606030504020204"/>
              </a:rPr>
              <a:t>Instruções</a:t>
            </a:r>
            <a:endParaRPr lang="pt-BR" sz="1100" b="1">
              <a:solidFill>
                <a:schemeClr val="accent1">
                  <a:lumMod val="75000"/>
                </a:schemeClr>
              </a:solidFill>
              <a:latin typeface="Open sans" panose="020B0606030504020204"/>
            </a:endParaRPr>
          </a:p>
          <a:p>
            <a:endParaRPr lang="pt-BR" sz="1100" b="0" baseline="0">
              <a:solidFill>
                <a:schemeClr val="tx1">
                  <a:lumMod val="75000"/>
                  <a:lumOff val="25000"/>
                </a:schemeClr>
              </a:solidFill>
              <a:latin typeface="Open sans" panose="020B0606030504020204"/>
            </a:endParaRPr>
          </a:p>
          <a:p>
            <a:r>
              <a:rPr lang="pt-BR" sz="1100" b="1" baseline="0">
                <a:solidFill>
                  <a:srgbClr val="00B050"/>
                </a:solidFill>
                <a:latin typeface="Open sans" panose="020B0606030504020204"/>
              </a:rPr>
              <a:t>1 </a:t>
            </a:r>
            <a:r>
              <a:rPr lang="pt-BR" sz="1100" b="0" baseline="0">
                <a:solidFill>
                  <a:schemeClr val="tx1">
                    <a:lumMod val="75000"/>
                    <a:lumOff val="25000"/>
                  </a:schemeClr>
                </a:solidFill>
                <a:latin typeface="Open sans" panose="020B0606030504020204"/>
              </a:rPr>
              <a:t>- Coluna E - Calcule a </a:t>
            </a:r>
            <a:r>
              <a:rPr lang="pt-BR" sz="1100" b="1" baseline="0">
                <a:solidFill>
                  <a:schemeClr val="tx1">
                    <a:lumMod val="75000"/>
                    <a:lumOff val="25000"/>
                  </a:schemeClr>
                </a:solidFill>
                <a:latin typeface="Open sans" panose="020B0606030504020204"/>
              </a:rPr>
              <a:t>quantidade de produtos bons</a:t>
            </a:r>
            <a:r>
              <a:rPr lang="pt-BR" sz="1100" b="0" baseline="0">
                <a:solidFill>
                  <a:schemeClr val="tx1">
                    <a:lumMod val="75000"/>
                    <a:lumOff val="25000"/>
                  </a:schemeClr>
                </a:solidFill>
                <a:latin typeface="Open sans" panose="020B0606030504020204"/>
              </a:rPr>
              <a:t>, ou seja, a quantidade produzida menos os produtos defeituosos;</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2</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 Coluna F - Quanto a empresa Itex Blocos de Cimentos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faturou</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por mês de acordo com os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produtos bons</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(Utilize o campo valor unitário acima da tabela).</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3</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 Coluna G - Calcule o custo dos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produtos defeituosos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para cada mês.</a:t>
            </a:r>
          </a:p>
          <a:p>
            <a:endParaRPr lang="pt-BR" sz="1100" b="0" baseline="0">
              <a:solidFill>
                <a:schemeClr val="tx1">
                  <a:lumMod val="75000"/>
                  <a:lumOff val="25000"/>
                </a:schemeClr>
              </a:solidFill>
              <a:latin typeface="Open sans" panose="020B0606030504020204"/>
            </a:endParaRPr>
          </a:p>
          <a:p>
            <a:r>
              <a:rPr lang="pt-BR" sz="1100" b="1" baseline="0">
                <a:solidFill>
                  <a:srgbClr val="00B050"/>
                </a:solidFill>
                <a:latin typeface="Open sans" panose="020B0606030504020204"/>
              </a:rPr>
              <a:t>4</a:t>
            </a:r>
            <a:r>
              <a:rPr lang="pt-BR" sz="1100" b="0" baseline="0">
                <a:solidFill>
                  <a:schemeClr val="tx1">
                    <a:lumMod val="75000"/>
                    <a:lumOff val="25000"/>
                  </a:schemeClr>
                </a:solidFill>
                <a:latin typeface="Open sans" panose="020B0606030504020204"/>
              </a:rPr>
              <a:t> - Coluna H - Calcular quantos % os </a:t>
            </a:r>
            <a:r>
              <a:rPr lang="pt-BR" sz="1100" b="1" baseline="0">
                <a:solidFill>
                  <a:schemeClr val="tx1">
                    <a:lumMod val="75000"/>
                    <a:lumOff val="25000"/>
                  </a:schemeClr>
                </a:solidFill>
                <a:latin typeface="Open sans" panose="020B0606030504020204"/>
              </a:rPr>
              <a:t>produtos bons </a:t>
            </a:r>
            <a:r>
              <a:rPr lang="pt-BR" sz="1100" b="0" baseline="0">
                <a:solidFill>
                  <a:schemeClr val="tx1">
                    <a:lumMod val="75000"/>
                    <a:lumOff val="25000"/>
                  </a:schemeClr>
                </a:solidFill>
                <a:latin typeface="Open sans" panose="020B0606030504020204"/>
              </a:rPr>
              <a:t>de cada mês, representa do </a:t>
            </a:r>
            <a:r>
              <a:rPr lang="pt-BR" sz="1100" b="1" baseline="0">
                <a:solidFill>
                  <a:schemeClr val="tx1">
                    <a:lumMod val="75000"/>
                    <a:lumOff val="25000"/>
                  </a:schemeClr>
                </a:solidFill>
                <a:latin typeface="Open sans" panose="020B0606030504020204"/>
              </a:rPr>
              <a:t>total de peças produzidas</a:t>
            </a:r>
            <a:r>
              <a:rPr lang="pt-BR" sz="1100" b="0" baseline="0">
                <a:solidFill>
                  <a:schemeClr val="tx1">
                    <a:lumMod val="75000"/>
                    <a:lumOff val="25000"/>
                  </a:schemeClr>
                </a:solidFill>
                <a:latin typeface="Open sans" panose="020B0606030504020204"/>
              </a:rPr>
              <a:t>.</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5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Coluna I - Calcular quantos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os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produtos defeituosos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de cada mês representa do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total de peças produzidas</a:t>
            </a:r>
            <a:r>
              <a:rPr lang="pt-BR" sz="1100" b="0" baseline="0">
                <a:solidFill>
                  <a:schemeClr val="tx1">
                    <a:lumMod val="75000"/>
                    <a:lumOff val="25000"/>
                  </a:schemeClr>
                </a:solidFill>
                <a:effectLst/>
                <a:latin typeface="Open sans" panose="020B0606030504020204"/>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pt-BR" sz="1100" b="0" baseline="0">
              <a:solidFill>
                <a:schemeClr val="tx1">
                  <a:lumMod val="75000"/>
                  <a:lumOff val="25000"/>
                </a:schemeClr>
              </a:solidFill>
              <a:effectLst/>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6</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 Linha 24, 25, 26 e 27 - Calcule o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Total, Média, Maior valor e Menor valor,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respectivamente,</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de cada coluna dos itens calculados anteriormente.</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7</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 Formate as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colunas F e G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como moeda e as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colunas H e I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como porcentagem.</a:t>
            </a:r>
          </a:p>
          <a:p>
            <a:pPr marL="0" marR="0" lvl="0" indent="0" defTabSz="914400" eaLnBrk="1" fontAlgn="auto" latinLnBrk="0" hangingPunct="1">
              <a:lnSpc>
                <a:spcPct val="100000"/>
              </a:lnSpc>
              <a:spcBef>
                <a:spcPts val="0"/>
              </a:spcBef>
              <a:spcAft>
                <a:spcPts val="0"/>
              </a:spcAft>
              <a:buClrTx/>
              <a:buSzTx/>
              <a:buFontTx/>
              <a:buNone/>
              <a:tabLst/>
              <a:defRPr/>
            </a:pPr>
            <a:endParaRPr lang="pt-BR" sz="1100" b="0" baseline="0">
              <a:solidFill>
                <a:schemeClr val="tx1">
                  <a:lumMod val="75000"/>
                  <a:lumOff val="25000"/>
                </a:schemeClr>
              </a:solidFill>
              <a:effectLst/>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pt-BR" sz="1100" b="1" baseline="0">
              <a:solidFill>
                <a:schemeClr val="accent2"/>
              </a:solidFill>
              <a:latin typeface="Open sans" panose="020B0606030504020204"/>
            </a:endParaRPr>
          </a:p>
          <a:p>
            <a:endParaRPr lang="pt-BR" sz="1100" b="1" baseline="0">
              <a:solidFill>
                <a:schemeClr val="accent2"/>
              </a:solidFill>
              <a:latin typeface="Open sans" panose="020B0606030504020204"/>
            </a:endParaRPr>
          </a:p>
        </xdr:txBody>
      </xdr:sp>
      <xdr:pic>
        <xdr:nvPicPr>
          <xdr:cNvPr id="12" name="Gráfico 8" descr="Lâmpada">
            <a:extLst>
              <a:ext uri="{FF2B5EF4-FFF2-40B4-BE49-F238E27FC236}">
                <a16:creationId xmlns:a16="http://schemas.microsoft.com/office/drawing/2014/main" id="{1FE99E65-867E-42F3-86D1-322303FD613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086725" y="1704975"/>
            <a:ext cx="447675" cy="447675"/>
          </a:xfrm>
          <a:prstGeom prst="rect">
            <a:avLst/>
          </a:prstGeom>
        </xdr:spPr>
      </xdr:pic>
    </xdr:grpSp>
    <xdr:clientData/>
  </xdr:twoCellAnchor>
  <xdr:twoCellAnchor editAs="oneCell">
    <xdr:from>
      <xdr:col>0</xdr:col>
      <xdr:colOff>285750</xdr:colOff>
      <xdr:row>6</xdr:row>
      <xdr:rowOff>66675</xdr:rowOff>
    </xdr:from>
    <xdr:to>
      <xdr:col>1</xdr:col>
      <xdr:colOff>447675</xdr:colOff>
      <xdr:row>8</xdr:row>
      <xdr:rowOff>190500</xdr:rowOff>
    </xdr:to>
    <xdr:pic>
      <xdr:nvPicPr>
        <xdr:cNvPr id="6" name="Gráfico 5" descr="Voltar DPE">
          <a:extLst>
            <a:ext uri="{FF2B5EF4-FFF2-40B4-BE49-F238E27FC236}">
              <a16:creationId xmlns:a16="http://schemas.microsoft.com/office/drawing/2014/main" id="{BF391FB0-4927-4C7B-9EA7-3593D65CCCF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85750" y="1323975"/>
          <a:ext cx="542925" cy="5429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504825</xdr:colOff>
      <xdr:row>1</xdr:row>
      <xdr:rowOff>47625</xdr:rowOff>
    </xdr:from>
    <xdr:to>
      <xdr:col>1</xdr:col>
      <xdr:colOff>1200150</xdr:colOff>
      <xdr:row>4</xdr:row>
      <xdr:rowOff>47625</xdr:rowOff>
    </xdr:to>
    <xdr:grpSp>
      <xdr:nvGrpSpPr>
        <xdr:cNvPr id="3" name="Agrupar 2">
          <a:extLst>
            <a:ext uri="{FF2B5EF4-FFF2-40B4-BE49-F238E27FC236}">
              <a16:creationId xmlns:a16="http://schemas.microsoft.com/office/drawing/2014/main" id="{0C087CA4-56FF-4B5D-BC3F-777701C52C11}"/>
            </a:ext>
          </a:extLst>
        </xdr:cNvPr>
        <xdr:cNvGrpSpPr/>
      </xdr:nvGrpSpPr>
      <xdr:grpSpPr>
        <a:xfrm>
          <a:off x="893445" y="260985"/>
          <a:ext cx="695325" cy="640080"/>
          <a:chOff x="885825" y="257175"/>
          <a:chExt cx="695325" cy="628650"/>
        </a:xfrm>
      </xdr:grpSpPr>
      <xdr:pic>
        <xdr:nvPicPr>
          <xdr:cNvPr id="4" name="Imagem 3">
            <a:extLst>
              <a:ext uri="{FF2B5EF4-FFF2-40B4-BE49-F238E27FC236}">
                <a16:creationId xmlns:a16="http://schemas.microsoft.com/office/drawing/2014/main" id="{25E71B70-D6B2-427A-88D7-D6102B3291C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r="29455" b="35695"/>
          <a:stretch/>
        </xdr:blipFill>
        <xdr:spPr>
          <a:xfrm>
            <a:off x="885825" y="297543"/>
            <a:ext cx="533400" cy="540657"/>
          </a:xfrm>
          <a:prstGeom prst="rect">
            <a:avLst/>
          </a:prstGeom>
        </xdr:spPr>
      </xdr:pic>
      <xdr:cxnSp macro="">
        <xdr:nvCxnSpPr>
          <xdr:cNvPr id="5" name="Conector reto 4">
            <a:extLst>
              <a:ext uri="{FF2B5EF4-FFF2-40B4-BE49-F238E27FC236}">
                <a16:creationId xmlns:a16="http://schemas.microsoft.com/office/drawing/2014/main" id="{834C1AD0-CAD9-41DE-97C5-9660F8EE989E}"/>
              </a:ext>
            </a:extLst>
          </xdr:cNvPr>
          <xdr:cNvCxnSpPr/>
        </xdr:nvCxnSpPr>
        <xdr:spPr>
          <a:xfrm>
            <a:off x="1581150" y="257175"/>
            <a:ext cx="0" cy="62865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7</xdr:col>
      <xdr:colOff>0</xdr:colOff>
      <xdr:row>8</xdr:row>
      <xdr:rowOff>152400</xdr:rowOff>
    </xdr:from>
    <xdr:to>
      <xdr:col>10</xdr:col>
      <xdr:colOff>0</xdr:colOff>
      <xdr:row>19</xdr:row>
      <xdr:rowOff>171450</xdr:rowOff>
    </xdr:to>
    <xdr:grpSp>
      <xdr:nvGrpSpPr>
        <xdr:cNvPr id="6" name="Agrupar 5">
          <a:extLst>
            <a:ext uri="{FF2B5EF4-FFF2-40B4-BE49-F238E27FC236}">
              <a16:creationId xmlns:a16="http://schemas.microsoft.com/office/drawing/2014/main" id="{E6D2BDA2-7C0E-4E2C-A9DE-4B573BFD9CA6}"/>
            </a:ext>
          </a:extLst>
        </xdr:cNvPr>
        <xdr:cNvGrpSpPr/>
      </xdr:nvGrpSpPr>
      <xdr:grpSpPr>
        <a:xfrm>
          <a:off x="9585960" y="1958340"/>
          <a:ext cx="2636520" cy="2419350"/>
          <a:chOff x="3971926" y="1609725"/>
          <a:chExt cx="2571750" cy="2381250"/>
        </a:xfrm>
      </xdr:grpSpPr>
      <xdr:sp macro="" textlink="">
        <xdr:nvSpPr>
          <xdr:cNvPr id="7" name="CaixaDeTexto 6">
            <a:extLst>
              <a:ext uri="{FF2B5EF4-FFF2-40B4-BE49-F238E27FC236}">
                <a16:creationId xmlns:a16="http://schemas.microsoft.com/office/drawing/2014/main" id="{90EC84D5-485D-436F-9133-778E001BE66E}"/>
              </a:ext>
            </a:extLst>
          </xdr:cNvPr>
          <xdr:cNvSpPr txBox="1"/>
        </xdr:nvSpPr>
        <xdr:spPr>
          <a:xfrm>
            <a:off x="3971926" y="1609725"/>
            <a:ext cx="2419350" cy="238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accent1">
                    <a:lumMod val="75000"/>
                  </a:schemeClr>
                </a:solidFill>
                <a:latin typeface="Open sans" panose="020B0606030504020204"/>
              </a:rPr>
              <a:t>Instruções</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lang="pt-BR" sz="1100" b="1" baseline="0">
                <a:solidFill>
                  <a:srgbClr val="00B050"/>
                </a:solidFill>
                <a:latin typeface="Open sans" panose="020B0606030504020204"/>
              </a:rPr>
              <a:t>1</a:t>
            </a:r>
            <a:r>
              <a:rPr lang="pt-BR" sz="1100" b="0" baseline="0">
                <a:solidFill>
                  <a:schemeClr val="tx1">
                    <a:lumMod val="75000"/>
                    <a:lumOff val="25000"/>
                  </a:schemeClr>
                </a:solidFill>
                <a:latin typeface="Open sans" panose="020B0606030504020204"/>
              </a:rPr>
              <a:t> - </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Utilize uma função de busca para obter o valor de venda na célula </a:t>
            </a:r>
            <a:r>
              <a:rPr kumimoji="0" lang="pt-BR" sz="12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F8</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de acordo com o modelo de carro que for digitado ou selecionado na célula C8. Utilize uma </a:t>
            </a:r>
            <a:r>
              <a:rPr kumimoji="0" lang="pt-BR" sz="12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validação de dados</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(lista) para facilitar a seleção do carros.</a:t>
            </a:r>
          </a:p>
          <a:p>
            <a:endParaRPr lang="pt-BR" sz="1100" b="1" baseline="0">
              <a:solidFill>
                <a:schemeClr val="accent2"/>
              </a:solidFill>
              <a:latin typeface="Open sans" panose="020B0606030504020204"/>
            </a:endParaRPr>
          </a:p>
        </xdr:txBody>
      </xdr:sp>
      <xdr:pic>
        <xdr:nvPicPr>
          <xdr:cNvPr id="8" name="Gráfico 7" descr="Lâmpada">
            <a:extLst>
              <a:ext uri="{FF2B5EF4-FFF2-40B4-BE49-F238E27FC236}">
                <a16:creationId xmlns:a16="http://schemas.microsoft.com/office/drawing/2014/main" id="{1D5CEBC4-D342-42FB-A146-06803DDD0B0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096001" y="1743075"/>
            <a:ext cx="447675" cy="447675"/>
          </a:xfrm>
          <a:prstGeom prst="rect">
            <a:avLst/>
          </a:prstGeom>
        </xdr:spPr>
      </xdr:pic>
    </xdr:grpSp>
    <xdr:clientData/>
  </xdr:twoCellAnchor>
  <xdr:twoCellAnchor editAs="absolute">
    <xdr:from>
      <xdr:col>2</xdr:col>
      <xdr:colOff>85725</xdr:colOff>
      <xdr:row>1</xdr:row>
      <xdr:rowOff>1</xdr:rowOff>
    </xdr:from>
    <xdr:to>
      <xdr:col>5</xdr:col>
      <xdr:colOff>800100</xdr:colOff>
      <xdr:row>4</xdr:row>
      <xdr:rowOff>133351</xdr:rowOff>
    </xdr:to>
    <xdr:sp macro="" textlink="">
      <xdr:nvSpPr>
        <xdr:cNvPr id="9" name="CaixaDeTexto 8">
          <a:extLst>
            <a:ext uri="{FF2B5EF4-FFF2-40B4-BE49-F238E27FC236}">
              <a16:creationId xmlns:a16="http://schemas.microsoft.com/office/drawing/2014/main" id="{5FB662A9-3888-4FAF-B291-C09EB7869FDE}"/>
            </a:ext>
          </a:extLst>
        </xdr:cNvPr>
        <xdr:cNvSpPr txBox="1"/>
      </xdr:nvSpPr>
      <xdr:spPr>
        <a:xfrm>
          <a:off x="1762125" y="209551"/>
          <a:ext cx="615315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0">
              <a:solidFill>
                <a:schemeClr val="tx1">
                  <a:lumMod val="75000"/>
                  <a:lumOff val="25000"/>
                </a:schemeClr>
              </a:solidFill>
              <a:latin typeface="Open sans" panose="020B0606030504020204"/>
            </a:rPr>
            <a:t>Para facilitar o dia a dia dos</a:t>
          </a:r>
          <a:r>
            <a:rPr lang="pt-BR" sz="1200" b="0" baseline="0">
              <a:solidFill>
                <a:schemeClr val="tx1">
                  <a:lumMod val="75000"/>
                  <a:lumOff val="25000"/>
                </a:schemeClr>
              </a:solidFill>
              <a:latin typeface="Open sans" panose="020B0606030504020204"/>
            </a:rPr>
            <a:t> usuários das planilhas da Itex Cars, precisamos criar um modelo que facilite a busca do valor de vendas somente escolhendo o modelo do carro.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228600</xdr:colOff>
      <xdr:row>5</xdr:row>
      <xdr:rowOff>200025</xdr:rowOff>
    </xdr:from>
    <xdr:to>
      <xdr:col>14</xdr:col>
      <xdr:colOff>447676</xdr:colOff>
      <xdr:row>17</xdr:row>
      <xdr:rowOff>66675</xdr:rowOff>
    </xdr:to>
    <xdr:grpSp>
      <xdr:nvGrpSpPr>
        <xdr:cNvPr id="10" name="Agrupar 9">
          <a:extLst>
            <a:ext uri="{FF2B5EF4-FFF2-40B4-BE49-F238E27FC236}">
              <a16:creationId xmlns:a16="http://schemas.microsoft.com/office/drawing/2014/main" id="{BADDEB71-32B8-4898-936D-3E2B976A296F}"/>
            </a:ext>
          </a:extLst>
        </xdr:cNvPr>
        <xdr:cNvGrpSpPr/>
      </xdr:nvGrpSpPr>
      <xdr:grpSpPr>
        <a:xfrm>
          <a:off x="9509760" y="1266825"/>
          <a:ext cx="2756536" cy="2426970"/>
          <a:chOff x="3971925" y="1609725"/>
          <a:chExt cx="2695576" cy="2381250"/>
        </a:xfrm>
      </xdr:grpSpPr>
      <xdr:sp macro="" textlink="">
        <xdr:nvSpPr>
          <xdr:cNvPr id="11" name="CaixaDeTexto 10">
            <a:extLst>
              <a:ext uri="{FF2B5EF4-FFF2-40B4-BE49-F238E27FC236}">
                <a16:creationId xmlns:a16="http://schemas.microsoft.com/office/drawing/2014/main" id="{1FEE9E3A-F8AB-48F4-8EDA-36267F6102E5}"/>
              </a:ext>
            </a:extLst>
          </xdr:cNvPr>
          <xdr:cNvSpPr txBox="1"/>
        </xdr:nvSpPr>
        <xdr:spPr>
          <a:xfrm>
            <a:off x="3971925" y="1609725"/>
            <a:ext cx="2524125" cy="238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accent1">
                    <a:lumMod val="75000"/>
                  </a:schemeClr>
                </a:solidFill>
                <a:latin typeface="Open sans" panose="020B0606030504020204"/>
              </a:rPr>
              <a:t>Instruções</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lang="pt-BR" sz="1100" b="1" baseline="0">
                <a:solidFill>
                  <a:srgbClr val="00B050"/>
                </a:solidFill>
                <a:latin typeface="Open sans" panose="020B0606030504020204"/>
              </a:rPr>
              <a:t>1</a:t>
            </a:r>
            <a:r>
              <a:rPr lang="pt-BR" sz="1100" b="0" baseline="0">
                <a:solidFill>
                  <a:schemeClr val="tx1">
                    <a:lumMod val="75000"/>
                    <a:lumOff val="25000"/>
                  </a:schemeClr>
                </a:solidFill>
                <a:latin typeface="Open sans" panose="020B0606030504020204"/>
              </a:rPr>
              <a:t> - </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Na coluna de Média </a:t>
            </a:r>
            <a:r>
              <a:rPr kumimoji="0" lang="pt-BR" sz="12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(Col. J) </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calcule a média dos itens desde a coluna Qualidade </a:t>
            </a:r>
            <a:r>
              <a:rPr kumimoji="0" lang="pt-BR" sz="12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(Col. E) </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até a coluna Organização </a:t>
            </a:r>
            <a:r>
              <a:rPr kumimoji="0" lang="pt-BR" sz="12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(Col. I). </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Depois calcule na coluna Desempenho </a:t>
            </a:r>
            <a:r>
              <a:rPr kumimoji="0" lang="pt-BR" sz="12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(Col. K) </a:t>
            </a:r>
            <a:r>
              <a:rPr kumimoji="0" lang="pt-BR" sz="12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o desempenho baseado na média, conforme a tabela de classificações abaixo.</a:t>
            </a:r>
            <a:endParaRPr lang="pt-BR" sz="1100" b="1" baseline="0">
              <a:solidFill>
                <a:schemeClr val="accent2"/>
              </a:solidFill>
              <a:latin typeface="Open sans" panose="020B0606030504020204"/>
            </a:endParaRPr>
          </a:p>
        </xdr:txBody>
      </xdr:sp>
      <xdr:pic>
        <xdr:nvPicPr>
          <xdr:cNvPr id="16" name="Gráfico 15" descr="Lâmpada">
            <a:extLst>
              <a:ext uri="{FF2B5EF4-FFF2-40B4-BE49-F238E27FC236}">
                <a16:creationId xmlns:a16="http://schemas.microsoft.com/office/drawing/2014/main" id="{485D5922-7384-45F9-9099-DDEF9825176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19826" y="1743075"/>
            <a:ext cx="447675" cy="447675"/>
          </a:xfrm>
          <a:prstGeom prst="rect">
            <a:avLst/>
          </a:prstGeom>
        </xdr:spPr>
      </xdr:pic>
    </xdr:grpSp>
    <xdr:clientData/>
  </xdr:twoCellAnchor>
  <xdr:twoCellAnchor editAs="absolute">
    <xdr:from>
      <xdr:col>2</xdr:col>
      <xdr:colOff>800100</xdr:colOff>
      <xdr:row>1</xdr:row>
      <xdr:rowOff>47625</xdr:rowOff>
    </xdr:from>
    <xdr:to>
      <xdr:col>12</xdr:col>
      <xdr:colOff>476250</xdr:colOff>
      <xdr:row>5</xdr:row>
      <xdr:rowOff>19050</xdr:rowOff>
    </xdr:to>
    <xdr:sp macro="" textlink="">
      <xdr:nvSpPr>
        <xdr:cNvPr id="2" name="CaixaDeTexto 1">
          <a:extLst>
            <a:ext uri="{FF2B5EF4-FFF2-40B4-BE49-F238E27FC236}">
              <a16:creationId xmlns:a16="http://schemas.microsoft.com/office/drawing/2014/main" id="{098B0DC4-E0DA-449C-A6AD-1CAF1E1F171B}"/>
            </a:ext>
          </a:extLst>
        </xdr:cNvPr>
        <xdr:cNvSpPr txBox="1"/>
      </xdr:nvSpPr>
      <xdr:spPr>
        <a:xfrm>
          <a:off x="1857375" y="257175"/>
          <a:ext cx="802957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0">
              <a:solidFill>
                <a:schemeClr val="tx1">
                  <a:lumMod val="75000"/>
                  <a:lumOff val="25000"/>
                </a:schemeClr>
              </a:solidFill>
              <a:latin typeface="Open sans" panose="020B0606030504020204"/>
            </a:rPr>
            <a:t>A Itex</a:t>
          </a:r>
          <a:r>
            <a:rPr lang="pt-BR" sz="1200" b="0" baseline="0">
              <a:solidFill>
                <a:schemeClr val="tx1">
                  <a:lumMod val="75000"/>
                  <a:lumOff val="25000"/>
                </a:schemeClr>
              </a:solidFill>
              <a:latin typeface="Open sans" panose="020B0606030504020204"/>
            </a:rPr>
            <a:t> Construções precisa acompanhar o desempenho de cada pessoa da equipe, pra isso, vamos classificá-los de acordo com seu desempenho.</a:t>
          </a:r>
          <a:endParaRPr lang="pt-BR" sz="1200" b="0">
            <a:solidFill>
              <a:schemeClr val="tx1">
                <a:lumMod val="75000"/>
                <a:lumOff val="25000"/>
              </a:schemeClr>
            </a:solidFill>
            <a:latin typeface="Open sans" panose="020B0606030504020204"/>
          </a:endParaRPr>
        </a:p>
      </xdr:txBody>
    </xdr:sp>
    <xdr:clientData/>
  </xdr:twoCellAnchor>
  <xdr:twoCellAnchor editAs="absolute">
    <xdr:from>
      <xdr:col>2</xdr:col>
      <xdr:colOff>0</xdr:colOff>
      <xdr:row>1</xdr:row>
      <xdr:rowOff>47625</xdr:rowOff>
    </xdr:from>
    <xdr:to>
      <xdr:col>2</xdr:col>
      <xdr:colOff>695325</xdr:colOff>
      <xdr:row>4</xdr:row>
      <xdr:rowOff>47625</xdr:rowOff>
    </xdr:to>
    <xdr:grpSp>
      <xdr:nvGrpSpPr>
        <xdr:cNvPr id="3" name="Agrupar 2">
          <a:extLst>
            <a:ext uri="{FF2B5EF4-FFF2-40B4-BE49-F238E27FC236}">
              <a16:creationId xmlns:a16="http://schemas.microsoft.com/office/drawing/2014/main" id="{9DCE9581-F4C9-4606-A058-7ECEC6ED00CC}"/>
            </a:ext>
          </a:extLst>
        </xdr:cNvPr>
        <xdr:cNvGrpSpPr/>
      </xdr:nvGrpSpPr>
      <xdr:grpSpPr>
        <a:xfrm>
          <a:off x="1082040" y="260985"/>
          <a:ext cx="695325" cy="640080"/>
          <a:chOff x="885825" y="257175"/>
          <a:chExt cx="695325" cy="628650"/>
        </a:xfrm>
      </xdr:grpSpPr>
      <xdr:pic>
        <xdr:nvPicPr>
          <xdr:cNvPr id="4" name="Imagem 3">
            <a:extLst>
              <a:ext uri="{FF2B5EF4-FFF2-40B4-BE49-F238E27FC236}">
                <a16:creationId xmlns:a16="http://schemas.microsoft.com/office/drawing/2014/main" id="{7B35631A-086D-4DEB-A100-8BDC50B1B36C}"/>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8899" t="41968" r="29455" b="35695"/>
          <a:stretch/>
        </xdr:blipFill>
        <xdr:spPr>
          <a:xfrm>
            <a:off x="885825" y="297543"/>
            <a:ext cx="533400" cy="540657"/>
          </a:xfrm>
          <a:prstGeom prst="rect">
            <a:avLst/>
          </a:prstGeom>
        </xdr:spPr>
      </xdr:pic>
      <xdr:cxnSp macro="">
        <xdr:nvCxnSpPr>
          <xdr:cNvPr id="5" name="Conector reto 4">
            <a:extLst>
              <a:ext uri="{FF2B5EF4-FFF2-40B4-BE49-F238E27FC236}">
                <a16:creationId xmlns:a16="http://schemas.microsoft.com/office/drawing/2014/main" id="{25DEFA2C-7963-4402-8557-4E60F7E572E5}"/>
              </a:ext>
            </a:extLst>
          </xdr:cNvPr>
          <xdr:cNvCxnSpPr/>
        </xdr:nvCxnSpPr>
        <xdr:spPr>
          <a:xfrm>
            <a:off x="1581150" y="257175"/>
            <a:ext cx="0" cy="62865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884937</xdr:colOff>
      <xdr:row>13</xdr:row>
      <xdr:rowOff>149621</xdr:rowOff>
    </xdr:from>
    <xdr:to>
      <xdr:col>14</xdr:col>
      <xdr:colOff>835849</xdr:colOff>
      <xdr:row>18</xdr:row>
      <xdr:rowOff>100533</xdr:rowOff>
    </xdr:to>
    <xdr:pic>
      <xdr:nvPicPr>
        <xdr:cNvPr id="12" name="Gráfico 11" descr="Voltar DPE">
          <a:extLst>
            <a:ext uri="{FF2B5EF4-FFF2-40B4-BE49-F238E27FC236}">
              <a16:creationId xmlns:a16="http://schemas.microsoft.com/office/drawing/2014/main" id="{41A6517A-A12D-4DBB-A878-8F5F5DC6C94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8380458">
          <a:off x="11343387" y="2873771"/>
          <a:ext cx="998662" cy="99866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428625</xdr:colOff>
      <xdr:row>1</xdr:row>
      <xdr:rowOff>47625</xdr:rowOff>
    </xdr:from>
    <xdr:to>
      <xdr:col>10</xdr:col>
      <xdr:colOff>752475</xdr:colOff>
      <xdr:row>4</xdr:row>
      <xdr:rowOff>161925</xdr:rowOff>
    </xdr:to>
    <xdr:sp macro="" textlink="">
      <xdr:nvSpPr>
        <xdr:cNvPr id="2" name="CaixaDeTexto 1">
          <a:extLst>
            <a:ext uri="{FF2B5EF4-FFF2-40B4-BE49-F238E27FC236}">
              <a16:creationId xmlns:a16="http://schemas.microsoft.com/office/drawing/2014/main" id="{EC844BDE-5169-4974-B014-883C291A86C4}"/>
            </a:ext>
          </a:extLst>
        </xdr:cNvPr>
        <xdr:cNvSpPr txBox="1"/>
      </xdr:nvSpPr>
      <xdr:spPr>
        <a:xfrm>
          <a:off x="1857375" y="257175"/>
          <a:ext cx="8029575" cy="742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a:solidFill>
                <a:schemeClr val="tx1">
                  <a:lumMod val="75000"/>
                  <a:lumOff val="25000"/>
                </a:schemeClr>
              </a:solidFill>
              <a:latin typeface="Open sans" panose="020B0606030504020204"/>
            </a:rPr>
            <a:t>Na loja de</a:t>
          </a:r>
          <a:r>
            <a:rPr lang="pt-BR" sz="1100" b="0" baseline="0">
              <a:solidFill>
                <a:schemeClr val="tx1">
                  <a:lumMod val="75000"/>
                  <a:lumOff val="25000"/>
                </a:schemeClr>
              </a:solidFill>
              <a:latin typeface="Open sans" panose="020B0606030504020204"/>
            </a:rPr>
            <a:t> roupas esportivas Itex Sports, cada vendedor recebe uma comissão de bônus por vendas realizadas no mês. Para realizar o processo de fechamento de uma forma mais rápida, vamos automatizar algumas tarefas.</a:t>
          </a:r>
          <a:endParaRPr lang="pt-BR" sz="1100" b="0">
            <a:solidFill>
              <a:schemeClr val="tx1">
                <a:lumMod val="75000"/>
                <a:lumOff val="25000"/>
              </a:schemeClr>
            </a:solidFill>
            <a:latin typeface="Open sans" panose="020B0606030504020204"/>
          </a:endParaRPr>
        </a:p>
      </xdr:txBody>
    </xdr:sp>
    <xdr:clientData/>
  </xdr:twoCellAnchor>
  <xdr:twoCellAnchor editAs="absolute">
    <xdr:from>
      <xdr:col>1</xdr:col>
      <xdr:colOff>676275</xdr:colOff>
      <xdr:row>1</xdr:row>
      <xdr:rowOff>47625</xdr:rowOff>
    </xdr:from>
    <xdr:to>
      <xdr:col>2</xdr:col>
      <xdr:colOff>323850</xdr:colOff>
      <xdr:row>4</xdr:row>
      <xdr:rowOff>47625</xdr:rowOff>
    </xdr:to>
    <xdr:grpSp>
      <xdr:nvGrpSpPr>
        <xdr:cNvPr id="3" name="Agrupar 2">
          <a:extLst>
            <a:ext uri="{FF2B5EF4-FFF2-40B4-BE49-F238E27FC236}">
              <a16:creationId xmlns:a16="http://schemas.microsoft.com/office/drawing/2014/main" id="{6080BF84-CD9E-4439-904B-D5DAE253A01A}"/>
            </a:ext>
          </a:extLst>
        </xdr:cNvPr>
        <xdr:cNvGrpSpPr/>
      </xdr:nvGrpSpPr>
      <xdr:grpSpPr>
        <a:xfrm>
          <a:off x="1064895" y="260985"/>
          <a:ext cx="721995" cy="640080"/>
          <a:chOff x="885825" y="257175"/>
          <a:chExt cx="695325" cy="628650"/>
        </a:xfrm>
      </xdr:grpSpPr>
      <xdr:pic>
        <xdr:nvPicPr>
          <xdr:cNvPr id="4" name="Imagem 3">
            <a:extLst>
              <a:ext uri="{FF2B5EF4-FFF2-40B4-BE49-F238E27FC236}">
                <a16:creationId xmlns:a16="http://schemas.microsoft.com/office/drawing/2014/main" id="{8F398EB6-3B38-48B9-9B4F-65F9B41F4B4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r="29455" b="35695"/>
          <a:stretch/>
        </xdr:blipFill>
        <xdr:spPr>
          <a:xfrm>
            <a:off x="885825" y="297543"/>
            <a:ext cx="533400" cy="540657"/>
          </a:xfrm>
          <a:prstGeom prst="rect">
            <a:avLst/>
          </a:prstGeom>
        </xdr:spPr>
      </xdr:pic>
      <xdr:cxnSp macro="">
        <xdr:nvCxnSpPr>
          <xdr:cNvPr id="5" name="Conector reto 4">
            <a:extLst>
              <a:ext uri="{FF2B5EF4-FFF2-40B4-BE49-F238E27FC236}">
                <a16:creationId xmlns:a16="http://schemas.microsoft.com/office/drawing/2014/main" id="{FE313B90-A695-42CA-B7BD-13A4A63C5A63}"/>
              </a:ext>
            </a:extLst>
          </xdr:cNvPr>
          <xdr:cNvCxnSpPr/>
        </xdr:nvCxnSpPr>
        <xdr:spPr>
          <a:xfrm>
            <a:off x="1581150" y="257175"/>
            <a:ext cx="0" cy="62865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8</xdr:col>
      <xdr:colOff>323850</xdr:colOff>
      <xdr:row>5</xdr:row>
      <xdr:rowOff>114300</xdr:rowOff>
    </xdr:from>
    <xdr:to>
      <xdr:col>11</xdr:col>
      <xdr:colOff>466725</xdr:colOff>
      <xdr:row>21</xdr:row>
      <xdr:rowOff>161924</xdr:rowOff>
    </xdr:to>
    <xdr:grpSp>
      <xdr:nvGrpSpPr>
        <xdr:cNvPr id="6" name="Agrupar 5">
          <a:extLst>
            <a:ext uri="{FF2B5EF4-FFF2-40B4-BE49-F238E27FC236}">
              <a16:creationId xmlns:a16="http://schemas.microsoft.com/office/drawing/2014/main" id="{C1683CE6-BD54-44E0-9485-F3B2DDEF024C}"/>
            </a:ext>
          </a:extLst>
        </xdr:cNvPr>
        <xdr:cNvGrpSpPr/>
      </xdr:nvGrpSpPr>
      <xdr:grpSpPr>
        <a:xfrm>
          <a:off x="8225790" y="1181100"/>
          <a:ext cx="2474595" cy="3461384"/>
          <a:chOff x="6124576" y="1695450"/>
          <a:chExt cx="2419350" cy="1727488"/>
        </a:xfrm>
      </xdr:grpSpPr>
      <xdr:sp macro="" textlink="">
        <xdr:nvSpPr>
          <xdr:cNvPr id="7" name="CaixaDeTexto 6">
            <a:extLst>
              <a:ext uri="{FF2B5EF4-FFF2-40B4-BE49-F238E27FC236}">
                <a16:creationId xmlns:a16="http://schemas.microsoft.com/office/drawing/2014/main" id="{973E22C1-9EF1-4207-A172-BCDCBE7CFA8F}"/>
              </a:ext>
            </a:extLst>
          </xdr:cNvPr>
          <xdr:cNvSpPr txBox="1"/>
        </xdr:nvSpPr>
        <xdr:spPr>
          <a:xfrm>
            <a:off x="6124576" y="1695450"/>
            <a:ext cx="2419350" cy="17274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accent1">
                    <a:lumMod val="75000"/>
                  </a:schemeClr>
                </a:solidFill>
                <a:latin typeface="Open sans" panose="020B0606030504020204"/>
              </a:rPr>
              <a:t>Instruções</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2AA62A"/>
                </a:solidFill>
                <a:effectLst/>
                <a:uLnTx/>
                <a:uFillTx/>
                <a:latin typeface="Open sans" panose="020B0606030504020204"/>
                <a:ea typeface="+mn-ea"/>
                <a:cs typeface="+mn-cs"/>
              </a:rPr>
              <a:t>1 -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Determine qual será a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porcentagem</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que cada vendedor receberá de comissão pela sua colaboração nas vendas (Coluna D),  de acordo com a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Tabela de Comissão.</a:t>
            </a:r>
            <a:endPar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a:ln>
                  <a:noFill/>
                </a:ln>
                <a:solidFill>
                  <a:srgbClr val="2AA62A"/>
                </a:solidFill>
                <a:effectLst/>
                <a:uLnTx/>
                <a:uFillTx/>
                <a:latin typeface="Open sans" panose="020B0606030504020204"/>
                <a:ea typeface="+mn-ea"/>
                <a:cs typeface="+mn-cs"/>
              </a:rPr>
              <a:t>2 -  </a:t>
            </a:r>
            <a:r>
              <a:rPr kumimoji="0" lang="pt-BR" sz="1100" b="0" i="0" u="none" strike="noStrike" kern="0" cap="none" spc="0" normalizeH="0" baseline="0">
                <a:ln>
                  <a:noFill/>
                </a:ln>
                <a:solidFill>
                  <a:prstClr val="black">
                    <a:lumMod val="75000"/>
                    <a:lumOff val="25000"/>
                  </a:prstClr>
                </a:solidFill>
                <a:effectLst/>
                <a:uLnTx/>
                <a:uFillTx/>
                <a:latin typeface="Open sans" panose="020B0606030504020204"/>
                <a:ea typeface="+mn-ea"/>
                <a:cs typeface="+mn-cs"/>
              </a:rPr>
              <a:t>Na </a:t>
            </a:r>
            <a:r>
              <a:rPr kumimoji="0" lang="pt-BR" sz="1100" b="1" i="0" u="none" strike="noStrike" kern="0" cap="none" spc="0" normalizeH="0" baseline="0">
                <a:ln>
                  <a:noFill/>
                </a:ln>
                <a:solidFill>
                  <a:prstClr val="black">
                    <a:lumMod val="75000"/>
                    <a:lumOff val="25000"/>
                  </a:prstClr>
                </a:solidFill>
                <a:effectLst/>
                <a:uLnTx/>
                <a:uFillTx/>
                <a:latin typeface="Open sans" panose="020B0606030504020204"/>
                <a:ea typeface="+mn-ea"/>
                <a:cs typeface="+mn-cs"/>
              </a:rPr>
              <a:t>coluna E</a:t>
            </a:r>
            <a:r>
              <a:rPr kumimoji="0" lang="pt-BR" sz="1100" b="0" i="0" u="none" strike="noStrike" kern="0" cap="none" spc="0" normalizeH="0" baseline="0">
                <a:ln>
                  <a:noFill/>
                </a:ln>
                <a:solidFill>
                  <a:prstClr val="black">
                    <a:lumMod val="75000"/>
                    <a:lumOff val="25000"/>
                  </a:prstClr>
                </a:solidFill>
                <a:effectLst/>
                <a:uLnTx/>
                <a:uFillTx/>
                <a:latin typeface="Open sans" panose="020B0606030504020204"/>
                <a:ea typeface="+mn-ea"/>
                <a:cs typeface="+mn-cs"/>
              </a:rPr>
              <a:t>, calcule o valor em reais, que cada vendedor receberá. </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2AA62A"/>
                </a:solidFill>
                <a:effectLst/>
                <a:uLnTx/>
                <a:uFillTx/>
                <a:latin typeface="Open sans" panose="020B0606030504020204"/>
                <a:ea typeface="+mn-ea"/>
                <a:cs typeface="+mn-cs"/>
              </a:rPr>
              <a:t>3 -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Crie um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ranking</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com as cinco maiores vendas. (Tabela Ranking)</a:t>
            </a:r>
          </a:p>
          <a:p>
            <a:pPr marL="0" marR="0" lvl="0" indent="0" defTabSz="914400" eaLnBrk="1" fontAlgn="auto" latinLnBrk="0" hangingPunct="1">
              <a:lnSpc>
                <a:spcPct val="100000"/>
              </a:lnSpc>
              <a:spcBef>
                <a:spcPts val="0"/>
              </a:spcBef>
              <a:spcAft>
                <a:spcPts val="0"/>
              </a:spcAft>
              <a:buClrTx/>
              <a:buSzTx/>
              <a:buFontTx/>
              <a:buNone/>
              <a:tabLst/>
              <a:defRPr/>
            </a:pPr>
            <a:endParaRPr lang="pt-BR" sz="1100" b="1" baseline="0">
              <a:solidFill>
                <a:schemeClr val="accent2"/>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endParaRPr lang="pt-BR" sz="1100" b="1" baseline="0">
              <a:solidFill>
                <a:schemeClr val="accent2"/>
              </a:solidFill>
              <a:latin typeface="Open sans" panose="020B0606030504020204"/>
            </a:endParaRPr>
          </a:p>
        </xdr:txBody>
      </xdr:sp>
      <xdr:pic>
        <xdr:nvPicPr>
          <xdr:cNvPr id="8" name="Gráfico 7" descr="Lâmpada">
            <a:extLst>
              <a:ext uri="{FF2B5EF4-FFF2-40B4-BE49-F238E27FC236}">
                <a16:creationId xmlns:a16="http://schemas.microsoft.com/office/drawing/2014/main" id="{79FEF00D-E037-4B29-892B-3B3A6C6EA00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086725" y="1704975"/>
            <a:ext cx="447675" cy="20822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800100</xdr:colOff>
      <xdr:row>1</xdr:row>
      <xdr:rowOff>47625</xdr:rowOff>
    </xdr:from>
    <xdr:to>
      <xdr:col>11</xdr:col>
      <xdr:colOff>561975</xdr:colOff>
      <xdr:row>5</xdr:row>
      <xdr:rowOff>19050</xdr:rowOff>
    </xdr:to>
    <xdr:sp macro="" textlink="">
      <xdr:nvSpPr>
        <xdr:cNvPr id="2" name="CaixaDeTexto 1">
          <a:extLst>
            <a:ext uri="{FF2B5EF4-FFF2-40B4-BE49-F238E27FC236}">
              <a16:creationId xmlns:a16="http://schemas.microsoft.com/office/drawing/2014/main" id="{773902ED-B236-4BBC-B88B-9D7E1E36F267}"/>
            </a:ext>
          </a:extLst>
        </xdr:cNvPr>
        <xdr:cNvSpPr txBox="1"/>
      </xdr:nvSpPr>
      <xdr:spPr>
        <a:xfrm>
          <a:off x="1857375" y="257175"/>
          <a:ext cx="802957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a:solidFill>
                <a:schemeClr val="tx1">
                  <a:lumMod val="75000"/>
                  <a:lumOff val="25000"/>
                </a:schemeClr>
              </a:solidFill>
              <a:latin typeface="Open sans" panose="020B0606030504020204"/>
            </a:rPr>
            <a:t>O grupo responsável</a:t>
          </a:r>
          <a:r>
            <a:rPr lang="pt-BR" sz="1100" b="0" baseline="0">
              <a:solidFill>
                <a:schemeClr val="tx1">
                  <a:lumMod val="75000"/>
                  <a:lumOff val="25000"/>
                </a:schemeClr>
              </a:solidFill>
              <a:latin typeface="Open sans" panose="020B0606030504020204"/>
            </a:rPr>
            <a:t> pelos investimentos no grupo Itex deseja saber como estão as ações que são negociadas.</a:t>
          </a:r>
        </a:p>
        <a:p>
          <a:r>
            <a:rPr lang="pt-BR" sz="1100" b="0" baseline="0">
              <a:solidFill>
                <a:schemeClr val="tx1">
                  <a:lumMod val="75000"/>
                  <a:lumOff val="25000"/>
                </a:schemeClr>
              </a:solidFill>
              <a:latin typeface="Open sans" panose="020B0606030504020204"/>
            </a:rPr>
            <a:t>Para isso, vamos utilizar de algumas funções para criar nosso relatório de busca.</a:t>
          </a:r>
        </a:p>
      </xdr:txBody>
    </xdr:sp>
    <xdr:clientData/>
  </xdr:twoCellAnchor>
  <xdr:twoCellAnchor editAs="absolute">
    <xdr:from>
      <xdr:col>2</xdr:col>
      <xdr:colOff>0</xdr:colOff>
      <xdr:row>1</xdr:row>
      <xdr:rowOff>47625</xdr:rowOff>
    </xdr:from>
    <xdr:to>
      <xdr:col>2</xdr:col>
      <xdr:colOff>695325</xdr:colOff>
      <xdr:row>4</xdr:row>
      <xdr:rowOff>47625</xdr:rowOff>
    </xdr:to>
    <xdr:grpSp>
      <xdr:nvGrpSpPr>
        <xdr:cNvPr id="3" name="Agrupar 2">
          <a:extLst>
            <a:ext uri="{FF2B5EF4-FFF2-40B4-BE49-F238E27FC236}">
              <a16:creationId xmlns:a16="http://schemas.microsoft.com/office/drawing/2014/main" id="{FA853589-0DF9-4F20-BB9D-BB144CFC2894}"/>
            </a:ext>
          </a:extLst>
        </xdr:cNvPr>
        <xdr:cNvGrpSpPr/>
      </xdr:nvGrpSpPr>
      <xdr:grpSpPr>
        <a:xfrm>
          <a:off x="1082040" y="260985"/>
          <a:ext cx="695325" cy="640080"/>
          <a:chOff x="885825" y="257175"/>
          <a:chExt cx="695325" cy="628650"/>
        </a:xfrm>
      </xdr:grpSpPr>
      <xdr:pic>
        <xdr:nvPicPr>
          <xdr:cNvPr id="4" name="Imagem 3">
            <a:extLst>
              <a:ext uri="{FF2B5EF4-FFF2-40B4-BE49-F238E27FC236}">
                <a16:creationId xmlns:a16="http://schemas.microsoft.com/office/drawing/2014/main" id="{4DC3B802-32A5-48C7-9797-12ECB34FF72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r="29455" b="35695"/>
          <a:stretch/>
        </xdr:blipFill>
        <xdr:spPr>
          <a:xfrm>
            <a:off x="885825" y="297543"/>
            <a:ext cx="533400" cy="540657"/>
          </a:xfrm>
          <a:prstGeom prst="rect">
            <a:avLst/>
          </a:prstGeom>
        </xdr:spPr>
      </xdr:pic>
      <xdr:cxnSp macro="">
        <xdr:nvCxnSpPr>
          <xdr:cNvPr id="5" name="Conector reto 4">
            <a:extLst>
              <a:ext uri="{FF2B5EF4-FFF2-40B4-BE49-F238E27FC236}">
                <a16:creationId xmlns:a16="http://schemas.microsoft.com/office/drawing/2014/main" id="{6B0DB4DD-275A-4C20-86D9-EEFCF7A3A407}"/>
              </a:ext>
            </a:extLst>
          </xdr:cNvPr>
          <xdr:cNvCxnSpPr/>
        </xdr:nvCxnSpPr>
        <xdr:spPr>
          <a:xfrm>
            <a:off x="1581150" y="257175"/>
            <a:ext cx="0" cy="62865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10</xdr:col>
      <xdr:colOff>47625</xdr:colOff>
      <xdr:row>6</xdr:row>
      <xdr:rowOff>142874</xdr:rowOff>
    </xdr:from>
    <xdr:to>
      <xdr:col>14</xdr:col>
      <xdr:colOff>361951</xdr:colOff>
      <xdr:row>32</xdr:row>
      <xdr:rowOff>0</xdr:rowOff>
    </xdr:to>
    <xdr:grpSp>
      <xdr:nvGrpSpPr>
        <xdr:cNvPr id="6" name="Agrupar 5">
          <a:extLst>
            <a:ext uri="{FF2B5EF4-FFF2-40B4-BE49-F238E27FC236}">
              <a16:creationId xmlns:a16="http://schemas.microsoft.com/office/drawing/2014/main" id="{50EEC85E-2F31-42B3-93B7-1CBBCD013E57}"/>
            </a:ext>
          </a:extLst>
        </xdr:cNvPr>
        <xdr:cNvGrpSpPr/>
      </xdr:nvGrpSpPr>
      <xdr:grpSpPr>
        <a:xfrm>
          <a:off x="8749665" y="1423034"/>
          <a:ext cx="3789046" cy="5404486"/>
          <a:chOff x="5362575" y="1704974"/>
          <a:chExt cx="3818300" cy="5305426"/>
        </a:xfrm>
      </xdr:grpSpPr>
      <xdr:sp macro="" textlink="">
        <xdr:nvSpPr>
          <xdr:cNvPr id="7" name="CaixaDeTexto 6">
            <a:extLst>
              <a:ext uri="{FF2B5EF4-FFF2-40B4-BE49-F238E27FC236}">
                <a16:creationId xmlns:a16="http://schemas.microsoft.com/office/drawing/2014/main" id="{5B5CB835-4733-4590-BA05-785B0F36347A}"/>
              </a:ext>
            </a:extLst>
          </xdr:cNvPr>
          <xdr:cNvSpPr txBox="1"/>
        </xdr:nvSpPr>
        <xdr:spPr>
          <a:xfrm>
            <a:off x="5362575" y="1704974"/>
            <a:ext cx="3419476" cy="5305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accent1">
                    <a:lumMod val="75000"/>
                  </a:schemeClr>
                </a:solidFill>
                <a:latin typeface="Open sans" panose="020B0606030504020204"/>
              </a:rPr>
              <a:t>Instruções</a:t>
            </a:r>
          </a:p>
          <a:p>
            <a:endParaRPr lang="pt-BR" sz="1100" b="1">
              <a:solidFill>
                <a:schemeClr val="accent1">
                  <a:lumMod val="7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Na célula I9 vamos reservar para escolher o nome da empresa que o usuário deseja consultar.</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2AA62A"/>
                </a:solidFill>
                <a:effectLst/>
                <a:uLnTx/>
                <a:uFillTx/>
                <a:latin typeface="Open sans" panose="020B0606030504020204"/>
                <a:ea typeface="+mn-ea"/>
                <a:cs typeface="+mn-cs"/>
              </a:rPr>
              <a:t>1 -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Célula I10</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 calcule o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valor total em ações</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da empresa selecionada/digitada na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célula I9</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2AA62A"/>
                </a:solidFill>
                <a:effectLst/>
                <a:uLnTx/>
                <a:uFillTx/>
                <a:latin typeface="Open sans" panose="020B0606030504020204"/>
                <a:ea typeface="+mn-ea"/>
                <a:cs typeface="+mn-cs"/>
              </a:rPr>
              <a:t>2 -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Célula I11</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  Determine a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quantidade de ações vendidas</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de acordo com a empresa escolhida.</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2AA62A"/>
                </a:solidFill>
                <a:effectLst/>
                <a:uLnTx/>
                <a:uFillTx/>
                <a:latin typeface="Open sans" panose="020B0606030504020204"/>
                <a:ea typeface="+mn-ea"/>
                <a:cs typeface="+mn-cs"/>
              </a:rPr>
              <a:t>3 -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Célula I12</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 Encontre o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preço médio </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do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valor unitário</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 da empresa selecionada.</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2AA62A"/>
                </a:solidFill>
                <a:effectLst/>
                <a:uLnTx/>
                <a:uFillTx/>
                <a:latin typeface="Open sans" panose="020B0606030504020204"/>
                <a:ea typeface="+mn-ea"/>
                <a:cs typeface="+mn-cs"/>
              </a:rPr>
              <a:t>4 -</a:t>
            </a:r>
            <a:r>
              <a:rPr kumimoji="0" lang="pt-BR" sz="1100" b="1" i="0" u="none" strike="noStrike" kern="0" cap="none" spc="0" normalizeH="0" baseline="0" noProof="0">
                <a:ln>
                  <a:noFill/>
                </a:ln>
                <a:solidFill>
                  <a:prstClr val="black">
                    <a:lumMod val="65000"/>
                    <a:lumOff val="35000"/>
                  </a:prstClr>
                </a:solidFill>
                <a:effectLst/>
                <a:uLnTx/>
                <a:uFillTx/>
                <a:latin typeface="Open sans" panose="020B0606030504020204"/>
                <a:ea typeface="+mn-ea"/>
                <a:cs typeface="+mn-cs"/>
              </a:rPr>
              <a:t> </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Na coluna Empresa (Coluna C), realce todas as células que contenham a empresa selecionada na </a:t>
            </a:r>
            <a:r>
              <a:rPr kumimoji="0" lang="pt-BR" sz="1100" b="1"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célula I9, </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através de uma formatação condicional.</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2AA62A"/>
                </a:solidFill>
                <a:effectLst/>
                <a:uLnTx/>
                <a:uFillTx/>
                <a:latin typeface="Open sans" panose="020B0606030504020204"/>
                <a:ea typeface="+mn-ea"/>
                <a:cs typeface="+mn-cs"/>
              </a:rPr>
              <a:t>5 - </a:t>
            </a:r>
            <a:r>
              <a:rPr kumimoji="0" lang="pt-BR" sz="1100" b="0" i="0" u="none" strike="noStrike" kern="0" cap="none" spc="0" normalizeH="0" baseline="0" noProof="0">
                <a:ln>
                  <a:noFill/>
                </a:ln>
                <a:solidFill>
                  <a:prstClr val="black">
                    <a:lumMod val="65000"/>
                    <a:lumOff val="35000"/>
                  </a:prstClr>
                </a:solidFill>
                <a:effectLst/>
                <a:uLnTx/>
                <a:uFillTx/>
                <a:latin typeface="Open sans" panose="020B0606030504020204"/>
                <a:ea typeface="+mn-ea"/>
                <a:cs typeface="+mn-cs"/>
              </a:rPr>
              <a:t>Na </a:t>
            </a:r>
            <a:r>
              <a:rPr kumimoji="0" lang="pt-BR" sz="1100" b="1" i="0" u="none" strike="noStrike" kern="0" cap="none" spc="0" normalizeH="0" baseline="0" noProof="0">
                <a:ln>
                  <a:noFill/>
                </a:ln>
                <a:solidFill>
                  <a:prstClr val="black">
                    <a:lumMod val="65000"/>
                    <a:lumOff val="35000"/>
                  </a:prstClr>
                </a:solidFill>
                <a:effectLst/>
                <a:uLnTx/>
                <a:uFillTx/>
                <a:latin typeface="Open sans" panose="020B0606030504020204"/>
                <a:ea typeface="+mn-ea"/>
                <a:cs typeface="+mn-cs"/>
              </a:rPr>
              <a:t>célula I9 </a:t>
            </a:r>
            <a:r>
              <a:rPr kumimoji="0" lang="pt-BR" sz="1100" b="0" i="0" u="none" strike="noStrike" kern="0" cap="none" spc="0" normalizeH="0" baseline="0" noProof="0">
                <a:ln>
                  <a:noFill/>
                </a:ln>
                <a:solidFill>
                  <a:prstClr val="black">
                    <a:lumMod val="65000"/>
                    <a:lumOff val="35000"/>
                  </a:prstClr>
                </a:solidFill>
                <a:effectLst/>
                <a:uLnTx/>
                <a:uFillTx/>
                <a:latin typeface="Open sans" panose="020B0606030504020204"/>
                <a:ea typeface="+mn-ea"/>
                <a:cs typeface="+mn-cs"/>
              </a:rPr>
              <a:t>faça uma validação de dados por lista, onde seja possível selecionar uma das empresas da </a:t>
            </a:r>
            <a:r>
              <a:rPr kumimoji="0" lang="pt-BR" sz="1100" b="1" i="0" u="none" strike="noStrike" kern="0" cap="none" spc="0" normalizeH="0" baseline="0" noProof="0">
                <a:ln>
                  <a:noFill/>
                </a:ln>
                <a:solidFill>
                  <a:prstClr val="black">
                    <a:lumMod val="65000"/>
                    <a:lumOff val="35000"/>
                  </a:prstClr>
                </a:solidFill>
                <a:effectLst/>
                <a:uLnTx/>
                <a:uFillTx/>
                <a:latin typeface="Open sans" panose="020B0606030504020204"/>
                <a:ea typeface="+mn-ea"/>
                <a:cs typeface="+mn-cs"/>
              </a:rPr>
              <a:t>coluna C</a:t>
            </a:r>
            <a:endParaRPr kumimoji="0" lang="pt-BR" sz="1100" b="1" i="0" u="none" strike="noStrike" kern="0" cap="none" spc="0" normalizeH="0" baseline="0">
              <a:ln>
                <a:noFill/>
              </a:ln>
              <a:solidFill>
                <a:srgbClr val="2AA62A"/>
              </a:solidFill>
              <a:effectLst/>
              <a:uLnTx/>
              <a:uFillTx/>
              <a:latin typeface="Open sans" panose="020B0606030504020204"/>
              <a:ea typeface="+mn-ea"/>
              <a:cs typeface="+mn-cs"/>
            </a:endParaRPr>
          </a:p>
          <a:p>
            <a:endParaRPr lang="pt-BR" sz="1100" b="0" baseline="0">
              <a:solidFill>
                <a:schemeClr val="tx1">
                  <a:lumMod val="75000"/>
                  <a:lumOff val="25000"/>
                </a:schemeClr>
              </a:solidFill>
              <a:latin typeface="Open sans" panose="020B0606030504020204"/>
            </a:endParaRPr>
          </a:p>
          <a:p>
            <a:r>
              <a:rPr lang="pt-BR" sz="1100" b="1" baseline="0">
                <a:solidFill>
                  <a:srgbClr val="00B050"/>
                </a:solidFill>
                <a:latin typeface="Open sans" panose="020B0606030504020204"/>
              </a:rPr>
              <a:t>Dica: </a:t>
            </a:r>
            <a:r>
              <a:rPr lang="pt-BR" sz="1100" b="0" baseline="0">
                <a:solidFill>
                  <a:schemeClr val="tx1">
                    <a:lumMod val="75000"/>
                    <a:lumOff val="25000"/>
                  </a:schemeClr>
                </a:solidFill>
                <a:latin typeface="Open sans" panose="020B0606030504020204"/>
              </a:rPr>
              <a:t>Você pode usar a tabela </a:t>
            </a:r>
            <a:r>
              <a:rPr lang="pt-BR" sz="1100" b="1" baseline="0">
                <a:solidFill>
                  <a:srgbClr val="2AA62A"/>
                </a:solidFill>
                <a:latin typeface="Open sans" panose="020B0606030504020204"/>
              </a:rPr>
              <a:t>Lista</a:t>
            </a:r>
            <a:r>
              <a:rPr lang="pt-BR" sz="1100" b="0" baseline="0">
                <a:solidFill>
                  <a:schemeClr val="tx1">
                    <a:lumMod val="75000"/>
                    <a:lumOff val="25000"/>
                  </a:schemeClr>
                </a:solidFill>
                <a:latin typeface="Open sans" panose="020B0606030504020204"/>
              </a:rPr>
              <a:t> para criar uma lista de todas as empresas únicas e utilizá-las para sua validação de dados;</a:t>
            </a:r>
          </a:p>
        </xdr:txBody>
      </xdr:sp>
      <xdr:pic>
        <xdr:nvPicPr>
          <xdr:cNvPr id="8" name="Gráfico 7" descr="Lâmpada">
            <a:extLst>
              <a:ext uri="{FF2B5EF4-FFF2-40B4-BE49-F238E27FC236}">
                <a16:creationId xmlns:a16="http://schemas.microsoft.com/office/drawing/2014/main" id="{E288E5C0-EC43-468B-BE09-95E4E0C4FDC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733200" y="1704975"/>
            <a:ext cx="447675" cy="447675"/>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800099</xdr:colOff>
      <xdr:row>1</xdr:row>
      <xdr:rowOff>47624</xdr:rowOff>
    </xdr:from>
    <xdr:to>
      <xdr:col>8</xdr:col>
      <xdr:colOff>828675</xdr:colOff>
      <xdr:row>5</xdr:row>
      <xdr:rowOff>19050</xdr:rowOff>
    </xdr:to>
    <xdr:sp macro="" textlink="">
      <xdr:nvSpPr>
        <xdr:cNvPr id="2" name="CaixaDeTexto 1">
          <a:extLst>
            <a:ext uri="{FF2B5EF4-FFF2-40B4-BE49-F238E27FC236}">
              <a16:creationId xmlns:a16="http://schemas.microsoft.com/office/drawing/2014/main" id="{B766D525-7DC0-4A0B-88FB-2E75B7FF15CF}"/>
            </a:ext>
          </a:extLst>
        </xdr:cNvPr>
        <xdr:cNvSpPr txBox="1"/>
      </xdr:nvSpPr>
      <xdr:spPr>
        <a:xfrm>
          <a:off x="1857374" y="257174"/>
          <a:ext cx="6191251"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a:solidFill>
                <a:schemeClr val="tx1">
                  <a:lumMod val="75000"/>
                  <a:lumOff val="25000"/>
                </a:schemeClr>
              </a:solidFill>
              <a:latin typeface="Open sans" panose="020B0606030504020204"/>
            </a:rPr>
            <a:t>Para controlar melhor</a:t>
          </a:r>
          <a:r>
            <a:rPr lang="pt-BR" sz="1100" b="0" baseline="0">
              <a:solidFill>
                <a:schemeClr val="tx1">
                  <a:lumMod val="75000"/>
                  <a:lumOff val="25000"/>
                </a:schemeClr>
              </a:solidFill>
              <a:latin typeface="Open sans" panose="020B0606030504020204"/>
            </a:rPr>
            <a:t> o estoque de grãos da Itex Agro, você foi escalado para gerar indicadores de status para os armazens, nos períodos que estão na tabela abaixo. Se você chegou até aqui, com certeza vai conseguir resolver mais essa!</a:t>
          </a:r>
        </a:p>
        <a:p>
          <a:endParaRPr lang="pt-BR" sz="1100" b="0">
            <a:solidFill>
              <a:schemeClr val="tx1">
                <a:lumMod val="75000"/>
                <a:lumOff val="25000"/>
              </a:schemeClr>
            </a:solidFill>
            <a:latin typeface="Open sans" panose="020B0606030504020204"/>
          </a:endParaRPr>
        </a:p>
      </xdr:txBody>
    </xdr:sp>
    <xdr:clientData/>
  </xdr:twoCellAnchor>
  <xdr:twoCellAnchor editAs="absolute">
    <xdr:from>
      <xdr:col>2</xdr:col>
      <xdr:colOff>0</xdr:colOff>
      <xdr:row>1</xdr:row>
      <xdr:rowOff>97518</xdr:rowOff>
    </xdr:from>
    <xdr:to>
      <xdr:col>2</xdr:col>
      <xdr:colOff>533400</xdr:colOff>
      <xdr:row>4</xdr:row>
      <xdr:rowOff>9525</xdr:rowOff>
    </xdr:to>
    <xdr:pic>
      <xdr:nvPicPr>
        <xdr:cNvPr id="4" name="Imagem 3">
          <a:extLst>
            <a:ext uri="{FF2B5EF4-FFF2-40B4-BE49-F238E27FC236}">
              <a16:creationId xmlns:a16="http://schemas.microsoft.com/office/drawing/2014/main" id="{CAD2607D-169C-4682-8676-2761DB38B1E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r="29455" b="35695"/>
        <a:stretch/>
      </xdr:blipFill>
      <xdr:spPr>
        <a:xfrm>
          <a:off x="1057275" y="307068"/>
          <a:ext cx="533400" cy="540657"/>
        </a:xfrm>
        <a:prstGeom prst="rect">
          <a:avLst/>
        </a:prstGeom>
      </xdr:spPr>
    </xdr:pic>
    <xdr:clientData/>
  </xdr:twoCellAnchor>
  <xdr:twoCellAnchor editAs="absolute">
    <xdr:from>
      <xdr:col>2</xdr:col>
      <xdr:colOff>695325</xdr:colOff>
      <xdr:row>1</xdr:row>
      <xdr:rowOff>47625</xdr:rowOff>
    </xdr:from>
    <xdr:to>
      <xdr:col>2</xdr:col>
      <xdr:colOff>695325</xdr:colOff>
      <xdr:row>4</xdr:row>
      <xdr:rowOff>66975</xdr:rowOff>
    </xdr:to>
    <xdr:cxnSp macro="">
      <xdr:nvCxnSpPr>
        <xdr:cNvPr id="5" name="Conector reto 4">
          <a:extLst>
            <a:ext uri="{FF2B5EF4-FFF2-40B4-BE49-F238E27FC236}">
              <a16:creationId xmlns:a16="http://schemas.microsoft.com/office/drawing/2014/main" id="{0D5A67C9-5CB0-43A4-BC2D-87111B1E8510}"/>
            </a:ext>
          </a:extLst>
        </xdr:cNvPr>
        <xdr:cNvCxnSpPr/>
      </xdr:nvCxnSpPr>
      <xdr:spPr>
        <a:xfrm>
          <a:off x="1752600" y="257175"/>
          <a:ext cx="0" cy="64800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476249</xdr:colOff>
      <xdr:row>6</xdr:row>
      <xdr:rowOff>178651</xdr:rowOff>
    </xdr:from>
    <xdr:to>
      <xdr:col>13</xdr:col>
      <xdr:colOff>190500</xdr:colOff>
      <xdr:row>39</xdr:row>
      <xdr:rowOff>47625</xdr:rowOff>
    </xdr:to>
    <xdr:grpSp>
      <xdr:nvGrpSpPr>
        <xdr:cNvPr id="6" name="Agrupar 5">
          <a:extLst>
            <a:ext uri="{FF2B5EF4-FFF2-40B4-BE49-F238E27FC236}">
              <a16:creationId xmlns:a16="http://schemas.microsoft.com/office/drawing/2014/main" id="{C40B8A2F-C3DA-4026-AD4E-B81B658E1275}"/>
            </a:ext>
          </a:extLst>
        </xdr:cNvPr>
        <xdr:cNvGrpSpPr/>
      </xdr:nvGrpSpPr>
      <xdr:grpSpPr>
        <a:xfrm>
          <a:off x="7882889" y="1458811"/>
          <a:ext cx="3509011" cy="6909854"/>
          <a:chOff x="6124575" y="1593402"/>
          <a:chExt cx="3419476" cy="4493749"/>
        </a:xfrm>
      </xdr:grpSpPr>
      <xdr:sp macro="" textlink="">
        <xdr:nvSpPr>
          <xdr:cNvPr id="7" name="CaixaDeTexto 6">
            <a:extLst>
              <a:ext uri="{FF2B5EF4-FFF2-40B4-BE49-F238E27FC236}">
                <a16:creationId xmlns:a16="http://schemas.microsoft.com/office/drawing/2014/main" id="{5043E255-E104-416F-B97F-A8293BA9D159}"/>
              </a:ext>
            </a:extLst>
          </xdr:cNvPr>
          <xdr:cNvSpPr txBox="1"/>
        </xdr:nvSpPr>
        <xdr:spPr>
          <a:xfrm>
            <a:off x="6124575" y="1695449"/>
            <a:ext cx="3419476" cy="43917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accent1">
                    <a:lumMod val="75000"/>
                  </a:schemeClr>
                </a:solidFill>
                <a:latin typeface="Open sans" panose="020B0606030504020204"/>
              </a:rPr>
              <a:t>Instruções</a:t>
            </a:r>
          </a:p>
          <a:p>
            <a:endParaRPr lang="pt-BR" sz="1100" b="0" baseline="0">
              <a:solidFill>
                <a:schemeClr val="tx1">
                  <a:lumMod val="75000"/>
                  <a:lumOff val="25000"/>
                </a:schemeClr>
              </a:solidFill>
              <a:latin typeface="Open sans" panose="020B0606030504020204"/>
            </a:endParaRPr>
          </a:p>
          <a:p>
            <a:r>
              <a:rPr lang="pt-BR" sz="1100" b="1" baseline="0">
                <a:solidFill>
                  <a:srgbClr val="00B050"/>
                </a:solidFill>
                <a:latin typeface="Open sans" panose="020B0606030504020204"/>
              </a:rPr>
              <a:t>1 </a:t>
            </a:r>
            <a:r>
              <a:rPr lang="pt-BR" sz="1100" b="0" baseline="0">
                <a:solidFill>
                  <a:schemeClr val="tx1">
                    <a:lumMod val="75000"/>
                    <a:lumOff val="25000"/>
                  </a:schemeClr>
                </a:solidFill>
                <a:latin typeface="Open sans" panose="020B0606030504020204"/>
              </a:rPr>
              <a:t>- Utilizando uma função condicional, descubra o Status do nível dos silos </a:t>
            </a:r>
            <a:r>
              <a:rPr lang="pt-BR" sz="1100" b="1" baseline="0">
                <a:solidFill>
                  <a:schemeClr val="tx1">
                    <a:lumMod val="75000"/>
                    <a:lumOff val="25000"/>
                  </a:schemeClr>
                </a:solidFill>
                <a:latin typeface="Open sans" panose="020B0606030504020204"/>
              </a:rPr>
              <a:t>(Coluna Status</a:t>
            </a:r>
            <a:r>
              <a:rPr lang="pt-BR" sz="1100" b="0" baseline="0">
                <a:solidFill>
                  <a:schemeClr val="tx1">
                    <a:lumMod val="75000"/>
                    <a:lumOff val="25000"/>
                  </a:schemeClr>
                </a:solidFill>
                <a:latin typeface="Open sans" panose="020B0606030504020204"/>
              </a:rPr>
              <a:t>):</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Nível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Bom</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Caso ambos os estoques Alpha e Beta sejam superiores a 5.000kg;</a:t>
            </a:r>
          </a:p>
          <a:p>
            <a:endParaRPr lang="pt-BR" sz="1100" b="0" baseline="0">
              <a:solidFill>
                <a:schemeClr val="tx1">
                  <a:lumMod val="75000"/>
                  <a:lumOff val="25000"/>
                </a:schemeClr>
              </a:solidFill>
              <a:latin typeface="Open sans" panose="020B0606030504020204"/>
            </a:endParaRPr>
          </a:p>
          <a:p>
            <a:r>
              <a:rPr lang="pt-BR" sz="1100" b="0" baseline="0">
                <a:solidFill>
                  <a:schemeClr val="tx1">
                    <a:lumMod val="75000"/>
                    <a:lumOff val="25000"/>
                  </a:schemeClr>
                </a:solidFill>
                <a:latin typeface="Open sans" panose="020B0606030504020204"/>
              </a:rPr>
              <a:t>Nível </a:t>
            </a:r>
            <a:r>
              <a:rPr lang="pt-BR" sz="1100" b="1" baseline="0">
                <a:solidFill>
                  <a:schemeClr val="tx1">
                    <a:lumMod val="75000"/>
                    <a:lumOff val="25000"/>
                  </a:schemeClr>
                </a:solidFill>
                <a:latin typeface="Open sans" panose="020B0606030504020204"/>
              </a:rPr>
              <a:t>Regular</a:t>
            </a:r>
            <a:r>
              <a:rPr lang="pt-BR" sz="1100" b="0" baseline="0">
                <a:solidFill>
                  <a:schemeClr val="tx1">
                    <a:lumMod val="75000"/>
                    <a:lumOff val="25000"/>
                  </a:schemeClr>
                </a:solidFill>
                <a:latin typeface="Open sans" panose="020B0606030504020204"/>
              </a:rPr>
              <a:t>: Se pelo menos um estoque, Alpha ou Beta, individualmente, for superior a 5.000kg</a:t>
            </a:r>
            <a:endParaRPr lang="pt-BR" sz="1100" b="1" baseline="0">
              <a:solidFill>
                <a:srgbClr val="2AA62A"/>
              </a:solidFill>
              <a:latin typeface="Open sans" panose="020B0606030504020204"/>
            </a:endParaRPr>
          </a:p>
          <a:p>
            <a:endParaRPr lang="pt-BR" sz="1100" b="0" baseline="0">
              <a:solidFill>
                <a:schemeClr val="tx1">
                  <a:lumMod val="75000"/>
                  <a:lumOff val="25000"/>
                </a:schemeClr>
              </a:solidFill>
              <a:latin typeface="Open sans" panose="020B0606030504020204"/>
            </a:endParaRPr>
          </a:p>
          <a:p>
            <a:r>
              <a:rPr lang="pt-BR" sz="1100" b="0" baseline="0">
                <a:solidFill>
                  <a:schemeClr val="tx1">
                    <a:lumMod val="75000"/>
                    <a:lumOff val="25000"/>
                  </a:schemeClr>
                </a:solidFill>
                <a:latin typeface="Open sans" panose="020B0606030504020204"/>
              </a:rPr>
              <a:t>Nível </a:t>
            </a:r>
            <a:r>
              <a:rPr lang="pt-BR" sz="1100" b="1" baseline="0">
                <a:solidFill>
                  <a:schemeClr val="tx1">
                    <a:lumMod val="75000"/>
                    <a:lumOff val="25000"/>
                  </a:schemeClr>
                </a:solidFill>
                <a:latin typeface="Open sans" panose="020B0606030504020204"/>
              </a:rPr>
              <a:t>Baixo: </a:t>
            </a:r>
            <a:r>
              <a:rPr lang="pt-BR" sz="1100" b="0" baseline="0">
                <a:solidFill>
                  <a:schemeClr val="tx1">
                    <a:lumMod val="75000"/>
                    <a:lumOff val="25000"/>
                  </a:schemeClr>
                </a:solidFill>
                <a:latin typeface="Open sans" panose="020B0606030504020204"/>
                <a:ea typeface="+mn-ea"/>
                <a:cs typeface="+mn-cs"/>
              </a:rPr>
              <a:t>Caso nenhuma das alternativas acima forem atendidas.</a:t>
            </a:r>
          </a:p>
          <a:p>
            <a:endParaRPr lang="pt-BR" sz="1100" b="0" baseline="0">
              <a:solidFill>
                <a:schemeClr val="tx1">
                  <a:lumMod val="75000"/>
                  <a:lumOff val="25000"/>
                </a:schemeClr>
              </a:solidFill>
              <a:latin typeface="Open sans" panose="020B0606030504020204"/>
            </a:endParaRPr>
          </a:p>
          <a:p>
            <a:pPr marL="0" marR="0" lvl="0" indent="0" defTabSz="914400" eaLnBrk="1" fontAlgn="auto" latinLnBrk="0" hangingPunct="1">
              <a:lnSpc>
                <a:spcPct val="100000"/>
              </a:lnSpc>
              <a:spcBef>
                <a:spcPts val="0"/>
              </a:spcBef>
              <a:spcAft>
                <a:spcPts val="0"/>
              </a:spcAft>
              <a:buClrTx/>
              <a:buSzTx/>
              <a:buFontTx/>
              <a:buNone/>
              <a:tabLst/>
              <a:defRPr/>
            </a:pPr>
            <a:r>
              <a:rPr lang="pt-BR" sz="1100" b="1" baseline="0">
                <a:solidFill>
                  <a:srgbClr val="00B050"/>
                </a:solidFill>
                <a:latin typeface="Open sans" panose="020B0606030504020204"/>
                <a:ea typeface="+mn-ea"/>
                <a:cs typeface="+mn-cs"/>
              </a:rPr>
              <a:t>2 - </a:t>
            </a:r>
            <a:r>
              <a:rPr lang="pt-BR" sz="1100" b="0" baseline="0">
                <a:solidFill>
                  <a:schemeClr val="tx1">
                    <a:lumMod val="75000"/>
                    <a:lumOff val="25000"/>
                  </a:schemeClr>
                </a:solidFill>
                <a:latin typeface="Open sans" panose="020B0606030504020204"/>
                <a:ea typeface="+mn-ea"/>
                <a:cs typeface="+mn-cs"/>
              </a:rPr>
              <a:t>Realce as células na coluna Status (Coluna E), com uma formatação condicional, conforme a seguir:</a:t>
            </a:r>
          </a:p>
          <a:p>
            <a:pPr marL="0" marR="0" lvl="0" indent="0" defTabSz="914400" eaLnBrk="1" fontAlgn="auto" latinLnBrk="0" hangingPunct="1">
              <a:lnSpc>
                <a:spcPct val="100000"/>
              </a:lnSpc>
              <a:spcBef>
                <a:spcPts val="0"/>
              </a:spcBef>
              <a:spcAft>
                <a:spcPts val="0"/>
              </a:spcAft>
              <a:buClrTx/>
              <a:buSzTx/>
              <a:buFontTx/>
              <a:buNone/>
              <a:tabLst/>
              <a:defRPr/>
            </a:pPr>
            <a:endParaRPr lang="pt-BR" sz="1100" b="0" baseline="0">
              <a:solidFill>
                <a:schemeClr val="tx1">
                  <a:lumMod val="75000"/>
                  <a:lumOff val="25000"/>
                </a:schemeClr>
              </a:solidFill>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pt-BR" sz="1100" b="1" baseline="0">
                <a:solidFill>
                  <a:schemeClr val="tx1">
                    <a:lumMod val="75000"/>
                    <a:lumOff val="25000"/>
                  </a:schemeClr>
                </a:solidFill>
                <a:latin typeface="Open sans" panose="020B0606030504020204"/>
                <a:ea typeface="+mn-ea"/>
                <a:cs typeface="+mn-cs"/>
              </a:rPr>
              <a:t>Bom - </a:t>
            </a:r>
            <a:r>
              <a:rPr lang="pt-BR" sz="1100" b="1" baseline="0">
                <a:solidFill>
                  <a:srgbClr val="2AA62A"/>
                </a:solidFill>
                <a:latin typeface="Open sans" panose="020B0606030504020204"/>
                <a:ea typeface="+mn-ea"/>
                <a:cs typeface="+mn-cs"/>
              </a:rPr>
              <a:t>Verde</a:t>
            </a:r>
          </a:p>
          <a:p>
            <a:pPr marL="0" marR="0" lvl="0" indent="0" defTabSz="914400" eaLnBrk="1" fontAlgn="auto" latinLnBrk="0" hangingPunct="1">
              <a:lnSpc>
                <a:spcPct val="100000"/>
              </a:lnSpc>
              <a:spcBef>
                <a:spcPts val="0"/>
              </a:spcBef>
              <a:spcAft>
                <a:spcPts val="0"/>
              </a:spcAft>
              <a:buClrTx/>
              <a:buSzTx/>
              <a:buFontTx/>
              <a:buNone/>
              <a:tabLst/>
              <a:defRPr/>
            </a:pPr>
            <a:r>
              <a:rPr lang="pt-BR" sz="1100" b="1" baseline="0">
                <a:solidFill>
                  <a:schemeClr val="tx1">
                    <a:lumMod val="75000"/>
                    <a:lumOff val="25000"/>
                  </a:schemeClr>
                </a:solidFill>
                <a:latin typeface="Open sans" panose="020B0606030504020204"/>
                <a:ea typeface="+mn-ea"/>
                <a:cs typeface="+mn-cs"/>
              </a:rPr>
              <a:t>Regular - </a:t>
            </a:r>
            <a:r>
              <a:rPr lang="pt-BR" sz="1100" b="1" baseline="0">
                <a:solidFill>
                  <a:srgbClr val="FFC000"/>
                </a:solidFill>
                <a:latin typeface="Open sans" panose="020B0606030504020204"/>
                <a:ea typeface="+mn-ea"/>
                <a:cs typeface="+mn-cs"/>
              </a:rPr>
              <a:t>Amarelo</a:t>
            </a:r>
          </a:p>
          <a:p>
            <a:pPr marL="0" marR="0" lvl="0" indent="0" defTabSz="914400" eaLnBrk="1" fontAlgn="auto" latinLnBrk="0" hangingPunct="1">
              <a:lnSpc>
                <a:spcPct val="100000"/>
              </a:lnSpc>
              <a:spcBef>
                <a:spcPts val="0"/>
              </a:spcBef>
              <a:spcAft>
                <a:spcPts val="0"/>
              </a:spcAft>
              <a:buClrTx/>
              <a:buSzTx/>
              <a:buFontTx/>
              <a:buNone/>
              <a:tabLst/>
              <a:defRPr/>
            </a:pPr>
            <a:r>
              <a:rPr lang="pt-BR" sz="1100" b="1" baseline="0">
                <a:solidFill>
                  <a:schemeClr val="tx1">
                    <a:lumMod val="75000"/>
                    <a:lumOff val="25000"/>
                  </a:schemeClr>
                </a:solidFill>
                <a:latin typeface="Open sans" panose="020B0606030504020204"/>
                <a:ea typeface="+mn-ea"/>
                <a:cs typeface="+mn-cs"/>
              </a:rPr>
              <a:t>Baixo - </a:t>
            </a:r>
            <a:r>
              <a:rPr lang="pt-BR" sz="1100" b="1" baseline="0">
                <a:solidFill>
                  <a:srgbClr val="FF0000"/>
                </a:solidFill>
                <a:latin typeface="Open sans" panose="020B0606030504020204"/>
                <a:ea typeface="+mn-ea"/>
                <a:cs typeface="+mn-cs"/>
              </a:rPr>
              <a:t>Vermelho</a:t>
            </a:r>
          </a:p>
          <a:p>
            <a:pPr marL="0" marR="0" lvl="0" indent="0" defTabSz="914400" eaLnBrk="1" fontAlgn="auto" latinLnBrk="0" hangingPunct="1">
              <a:lnSpc>
                <a:spcPct val="100000"/>
              </a:lnSpc>
              <a:spcBef>
                <a:spcPts val="0"/>
              </a:spcBef>
              <a:spcAft>
                <a:spcPts val="0"/>
              </a:spcAft>
              <a:buClrTx/>
              <a:buSzTx/>
              <a:buFontTx/>
              <a:buNone/>
              <a:tabLst/>
              <a:defRPr/>
            </a:pPr>
            <a:endParaRPr lang="pt-BR" sz="1100" b="0" baseline="0">
              <a:solidFill>
                <a:schemeClr val="tx1">
                  <a:lumMod val="75000"/>
                  <a:lumOff val="25000"/>
                </a:schemeClr>
              </a:solidFill>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3 - </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Na</a:t>
            </a: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 Tabela Resultado</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calcule a soma do volume armazenado por mês, de acordo com o armazém selecionado na </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Célula I11</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a:t>
            </a:r>
            <a:r>
              <a:rPr kumimoji="0" lang="pt-BR" sz="1100" b="1"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com a possibilidade de selecionar o outro armazém quando necessário.</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4 - </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Na</a:t>
            </a: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 Tabela Status</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determine a quantidade de vezes que o estoque ficou nos níveis: Bom, Regular e Baixo, em todo o ano.</a:t>
            </a:r>
          </a:p>
          <a:p>
            <a:pPr marL="0" marR="0" lvl="0" indent="0"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pt-BR" sz="1100" b="1" i="0" u="none" strike="noStrike" kern="0" cap="none" spc="0" normalizeH="0" baseline="0" noProof="0">
                <a:ln>
                  <a:noFill/>
                </a:ln>
                <a:solidFill>
                  <a:srgbClr val="00B050"/>
                </a:solidFill>
                <a:effectLst/>
                <a:uLnTx/>
                <a:uFillTx/>
                <a:latin typeface="Open sans" panose="020B0606030504020204"/>
                <a:ea typeface="+mn-ea"/>
                <a:cs typeface="+mn-cs"/>
              </a:rPr>
              <a:t>5 - </a:t>
            </a:r>
            <a:r>
              <a:rPr kumimoji="0" lang="pt-BR" sz="1100" b="0" i="0" u="none" strike="noStrike" kern="0" cap="none" spc="0" normalizeH="0" baseline="0" noProof="0">
                <a:ln>
                  <a:noFill/>
                </a:ln>
                <a:solidFill>
                  <a:schemeClr val="tx1">
                    <a:lumMod val="65000"/>
                    <a:lumOff val="35000"/>
                  </a:schemeClr>
                </a:solidFill>
                <a:effectLst/>
                <a:uLnTx/>
                <a:uFillTx/>
                <a:latin typeface="Open sans" panose="020B0606030504020204"/>
                <a:ea typeface="+mn-ea"/>
                <a:cs typeface="+mn-cs"/>
              </a:rPr>
              <a:t>Crie um gráfico de colunas agrupadas para ilustrar o volume de grãos por mês do armazém selecionado.</a:t>
            </a:r>
          </a:p>
          <a:p>
            <a:pPr marL="0" marR="0" lvl="0" indent="0" defTabSz="914400" eaLnBrk="1" fontAlgn="auto" latinLnBrk="0" hangingPunct="1">
              <a:lnSpc>
                <a:spcPct val="100000"/>
              </a:lnSpc>
              <a:spcBef>
                <a:spcPts val="0"/>
              </a:spcBef>
              <a:spcAft>
                <a:spcPts val="0"/>
              </a:spcAft>
              <a:buClrTx/>
              <a:buSzTx/>
              <a:buFontTx/>
              <a:buNone/>
              <a:tabLst/>
              <a:defRPr/>
            </a:pPr>
            <a:endParaRPr lang="pt-BR" sz="1100" b="0" baseline="0">
              <a:solidFill>
                <a:schemeClr val="tx1">
                  <a:lumMod val="75000"/>
                  <a:lumOff val="25000"/>
                </a:schemeClr>
              </a:solidFill>
              <a:latin typeface="Open sans" panose="020B0606030504020204"/>
              <a:ea typeface="+mn-ea"/>
              <a:cs typeface="+mn-cs"/>
            </a:endParaRPr>
          </a:p>
          <a:p>
            <a:endParaRPr lang="pt-BR" sz="1100" b="0" baseline="0">
              <a:solidFill>
                <a:schemeClr val="tx1">
                  <a:lumMod val="75000"/>
                  <a:lumOff val="25000"/>
                </a:schemeClr>
              </a:solidFill>
              <a:latin typeface="Open sans" panose="020B0606030504020204"/>
            </a:endParaRPr>
          </a:p>
        </xdr:txBody>
      </xdr:sp>
      <xdr:pic>
        <xdr:nvPicPr>
          <xdr:cNvPr id="8" name="Gráfico 7" descr="Lâmpada">
            <a:extLst>
              <a:ext uri="{FF2B5EF4-FFF2-40B4-BE49-F238E27FC236}">
                <a16:creationId xmlns:a16="http://schemas.microsoft.com/office/drawing/2014/main" id="{D0F44B61-BCE5-45FB-A46C-968FF7BE216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20153" y="1593402"/>
            <a:ext cx="495298" cy="342123"/>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438149</xdr:colOff>
      <xdr:row>1</xdr:row>
      <xdr:rowOff>47625</xdr:rowOff>
    </xdr:from>
    <xdr:to>
      <xdr:col>9</xdr:col>
      <xdr:colOff>1200149</xdr:colOff>
      <xdr:row>5</xdr:row>
      <xdr:rowOff>1</xdr:rowOff>
    </xdr:to>
    <xdr:sp macro="" textlink="">
      <xdr:nvSpPr>
        <xdr:cNvPr id="2" name="CaixaDeTexto 1">
          <a:extLst>
            <a:ext uri="{FF2B5EF4-FFF2-40B4-BE49-F238E27FC236}">
              <a16:creationId xmlns:a16="http://schemas.microsoft.com/office/drawing/2014/main" id="{3EEBFA13-BA43-41E8-871E-280854E09497}"/>
            </a:ext>
          </a:extLst>
        </xdr:cNvPr>
        <xdr:cNvSpPr txBox="1"/>
      </xdr:nvSpPr>
      <xdr:spPr>
        <a:xfrm>
          <a:off x="1857374" y="257175"/>
          <a:ext cx="10353675" cy="7905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baseline="0">
              <a:solidFill>
                <a:schemeClr val="tx1">
                  <a:lumMod val="75000"/>
                  <a:lumOff val="25000"/>
                </a:schemeClr>
              </a:solidFill>
              <a:latin typeface="Open sans" panose="020B0606030504020204"/>
            </a:rPr>
            <a:t>À partir do Banco de Dados abaixo, crie uma </a:t>
          </a:r>
          <a:r>
            <a:rPr lang="pt-BR" sz="1100" b="1" baseline="0">
              <a:solidFill>
                <a:schemeClr val="tx1">
                  <a:lumMod val="75000"/>
                  <a:lumOff val="25000"/>
                </a:schemeClr>
              </a:solidFill>
              <a:latin typeface="Open sans" panose="020B0606030504020204"/>
            </a:rPr>
            <a:t>tabela dinâmica</a:t>
          </a:r>
          <a:r>
            <a:rPr lang="pt-BR" sz="1100" b="0" baseline="0">
              <a:solidFill>
                <a:schemeClr val="tx1">
                  <a:lumMod val="75000"/>
                  <a:lumOff val="25000"/>
                </a:schemeClr>
              </a:solidFill>
              <a:latin typeface="Open sans" panose="020B0606030504020204"/>
            </a:rPr>
            <a:t> para analisar melhor a emissão de gás carbônico (CO2) e enxofre (SO2).</a:t>
          </a:r>
        </a:p>
        <a:p>
          <a:r>
            <a:rPr lang="pt-BR" sz="1100" b="0" baseline="0">
              <a:solidFill>
                <a:schemeClr val="tx1">
                  <a:lumMod val="75000"/>
                  <a:lumOff val="25000"/>
                </a:schemeClr>
              </a:solidFill>
              <a:latin typeface="Open sans" panose="020B0606030504020204"/>
            </a:rPr>
            <a:t>Estratifique de acordo com os meses, tendo a possibilidade de agrupar por trimestre e filtrar por cidade.</a:t>
          </a:r>
          <a:endParaRPr lang="pt-BR" sz="1100" b="0">
            <a:solidFill>
              <a:schemeClr val="tx1">
                <a:lumMod val="75000"/>
                <a:lumOff val="25000"/>
              </a:schemeClr>
            </a:solidFill>
            <a:latin typeface="Open sans" panose="020B0606030504020204"/>
          </a:endParaRPr>
        </a:p>
      </xdr:txBody>
    </xdr:sp>
    <xdr:clientData/>
  </xdr:twoCellAnchor>
  <xdr:twoCellAnchor editAs="absolute">
    <xdr:from>
      <xdr:col>1</xdr:col>
      <xdr:colOff>676275</xdr:colOff>
      <xdr:row>1</xdr:row>
      <xdr:rowOff>87993</xdr:rowOff>
    </xdr:from>
    <xdr:to>
      <xdr:col>2</xdr:col>
      <xdr:colOff>171450</xdr:colOff>
      <xdr:row>4</xdr:row>
      <xdr:rowOff>0</xdr:rowOff>
    </xdr:to>
    <xdr:pic>
      <xdr:nvPicPr>
        <xdr:cNvPr id="3" name="Imagem 2">
          <a:extLst>
            <a:ext uri="{FF2B5EF4-FFF2-40B4-BE49-F238E27FC236}">
              <a16:creationId xmlns:a16="http://schemas.microsoft.com/office/drawing/2014/main" id="{61428815-6676-4BE1-952B-50449164161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r="29455" b="35695"/>
        <a:stretch/>
      </xdr:blipFill>
      <xdr:spPr>
        <a:xfrm>
          <a:off x="1057275" y="297543"/>
          <a:ext cx="533400" cy="540657"/>
        </a:xfrm>
        <a:prstGeom prst="rect">
          <a:avLst/>
        </a:prstGeom>
      </xdr:spPr>
    </xdr:pic>
    <xdr:clientData/>
  </xdr:twoCellAnchor>
  <xdr:twoCellAnchor editAs="absolute">
    <xdr:from>
      <xdr:col>2</xdr:col>
      <xdr:colOff>333375</xdr:colOff>
      <xdr:row>1</xdr:row>
      <xdr:rowOff>47625</xdr:rowOff>
    </xdr:from>
    <xdr:to>
      <xdr:col>2</xdr:col>
      <xdr:colOff>333375</xdr:colOff>
      <xdr:row>4</xdr:row>
      <xdr:rowOff>66975</xdr:rowOff>
    </xdr:to>
    <xdr:cxnSp macro="">
      <xdr:nvCxnSpPr>
        <xdr:cNvPr id="4" name="Conector reto 3">
          <a:extLst>
            <a:ext uri="{FF2B5EF4-FFF2-40B4-BE49-F238E27FC236}">
              <a16:creationId xmlns:a16="http://schemas.microsoft.com/office/drawing/2014/main" id="{BAD3C394-16D8-4843-AD2C-B2BC64E3710A}"/>
            </a:ext>
          </a:extLst>
        </xdr:cNvPr>
        <xdr:cNvCxnSpPr/>
      </xdr:nvCxnSpPr>
      <xdr:spPr>
        <a:xfrm>
          <a:off x="1752600" y="257175"/>
          <a:ext cx="0" cy="64800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1104900</xdr:colOff>
      <xdr:row>5</xdr:row>
      <xdr:rowOff>66682</xdr:rowOff>
    </xdr:from>
    <xdr:to>
      <xdr:col>8</xdr:col>
      <xdr:colOff>2124076</xdr:colOff>
      <xdr:row>15</xdr:row>
      <xdr:rowOff>123825</xdr:rowOff>
    </xdr:to>
    <xdr:grpSp>
      <xdr:nvGrpSpPr>
        <xdr:cNvPr id="5" name="Agrupar 4">
          <a:extLst>
            <a:ext uri="{FF2B5EF4-FFF2-40B4-BE49-F238E27FC236}">
              <a16:creationId xmlns:a16="http://schemas.microsoft.com/office/drawing/2014/main" id="{0039B7FD-6626-4E6D-98DB-544DD2C8F021}"/>
            </a:ext>
          </a:extLst>
        </xdr:cNvPr>
        <xdr:cNvGrpSpPr/>
      </xdr:nvGrpSpPr>
      <xdr:grpSpPr>
        <a:xfrm>
          <a:off x="7696200" y="1133482"/>
          <a:ext cx="3488056" cy="1985003"/>
          <a:chOff x="6124575" y="1536620"/>
          <a:chExt cx="3419476" cy="1375418"/>
        </a:xfrm>
      </xdr:grpSpPr>
      <xdr:sp macro="" textlink="">
        <xdr:nvSpPr>
          <xdr:cNvPr id="6" name="CaixaDeTexto 5">
            <a:extLst>
              <a:ext uri="{FF2B5EF4-FFF2-40B4-BE49-F238E27FC236}">
                <a16:creationId xmlns:a16="http://schemas.microsoft.com/office/drawing/2014/main" id="{B1148D23-928A-4A50-9174-4256784E3275}"/>
              </a:ext>
            </a:extLst>
          </xdr:cNvPr>
          <xdr:cNvSpPr txBox="1"/>
        </xdr:nvSpPr>
        <xdr:spPr>
          <a:xfrm>
            <a:off x="6124575" y="1695449"/>
            <a:ext cx="3419476" cy="121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accent1">
                    <a:lumMod val="75000"/>
                  </a:schemeClr>
                </a:solidFill>
                <a:latin typeface="Open sans" panose="020B0606030504020204"/>
              </a:rPr>
              <a:t>Instruções</a:t>
            </a:r>
          </a:p>
          <a:p>
            <a:endParaRPr lang="pt-BR" sz="1100" b="0" baseline="0">
              <a:solidFill>
                <a:schemeClr val="tx1">
                  <a:lumMod val="75000"/>
                  <a:lumOff val="25000"/>
                </a:schemeClr>
              </a:solidFill>
              <a:latin typeface="Open sans" panose="020B0606030504020204"/>
            </a:endParaRPr>
          </a:p>
          <a:p>
            <a:r>
              <a:rPr lang="pt-BR" sz="1100" b="1" baseline="0">
                <a:solidFill>
                  <a:srgbClr val="00B050"/>
                </a:solidFill>
                <a:latin typeface="Open sans" panose="020B0606030504020204"/>
              </a:rPr>
              <a:t>1 </a:t>
            </a:r>
            <a:r>
              <a:rPr lang="pt-BR" sz="1100" b="0" baseline="0">
                <a:solidFill>
                  <a:schemeClr val="tx1">
                    <a:lumMod val="75000"/>
                    <a:lumOff val="25000"/>
                  </a:schemeClr>
                </a:solidFill>
                <a:latin typeface="Open sans" panose="020B0606030504020204"/>
              </a:rPr>
              <a:t>- Utilizando o banco de dados ao lado, crie</a:t>
            </a:r>
            <a:r>
              <a:rPr kumimoji="0" lang="pt-BR" sz="1100" b="0" i="0" u="none" strike="noStrike" kern="0" cap="none" spc="0" normalizeH="0" baseline="0" noProof="0">
                <a:ln>
                  <a:noFill/>
                </a:ln>
                <a:solidFill>
                  <a:prstClr val="black">
                    <a:lumMod val="75000"/>
                    <a:lumOff val="25000"/>
                  </a:prstClr>
                </a:solidFill>
                <a:effectLst/>
                <a:uLnTx/>
                <a:uFillTx/>
                <a:latin typeface="Open sans" panose="020B0606030504020204"/>
                <a:ea typeface="+mn-ea"/>
                <a:cs typeface="+mn-cs"/>
              </a:rPr>
              <a:t>, logo abaixo desse quadro,</a:t>
            </a:r>
            <a:r>
              <a:rPr lang="pt-BR" sz="1100" b="0" baseline="0">
                <a:solidFill>
                  <a:schemeClr val="tx1">
                    <a:lumMod val="75000"/>
                    <a:lumOff val="25000"/>
                  </a:schemeClr>
                </a:solidFill>
                <a:latin typeface="Open sans" panose="020B0606030504020204"/>
              </a:rPr>
              <a:t> uma </a:t>
            </a:r>
            <a:r>
              <a:rPr lang="pt-BR" sz="1100" b="1" baseline="0">
                <a:solidFill>
                  <a:srgbClr val="2AA62A"/>
                </a:solidFill>
                <a:latin typeface="Open sans" panose="020B0606030504020204"/>
              </a:rPr>
              <a:t>tabela dinâmica </a:t>
            </a:r>
            <a:r>
              <a:rPr lang="pt-BR" sz="1100" b="0" baseline="0">
                <a:solidFill>
                  <a:schemeClr val="tx1">
                    <a:lumMod val="75000"/>
                    <a:lumOff val="25000"/>
                  </a:schemeClr>
                </a:solidFill>
                <a:latin typeface="Open sans" panose="020B0606030504020204"/>
              </a:rPr>
              <a:t>que organize a emissão de gás carbônico (CO2) e enxofre (SO2) de acordo com os </a:t>
            </a:r>
            <a:r>
              <a:rPr lang="pt-BR" sz="1100" b="1" baseline="0">
                <a:solidFill>
                  <a:srgbClr val="2AA62A"/>
                </a:solidFill>
                <a:latin typeface="Open sans" panose="020B0606030504020204"/>
              </a:rPr>
              <a:t>trimestres</a:t>
            </a:r>
            <a:r>
              <a:rPr lang="pt-BR" sz="1100" b="0" baseline="0">
                <a:solidFill>
                  <a:schemeClr val="tx1">
                    <a:lumMod val="75000"/>
                    <a:lumOff val="25000"/>
                  </a:schemeClr>
                </a:solidFill>
                <a:latin typeface="Open sans" panose="020B0606030504020204"/>
              </a:rPr>
              <a:t>, subdivididos por </a:t>
            </a:r>
            <a:r>
              <a:rPr lang="pt-BR" sz="1100" b="1" baseline="0">
                <a:solidFill>
                  <a:srgbClr val="2AA62A"/>
                </a:solidFill>
                <a:latin typeface="Open sans" panose="020B0606030504020204"/>
                <a:ea typeface="+mn-ea"/>
                <a:cs typeface="+mn-cs"/>
              </a:rPr>
              <a:t>meses</a:t>
            </a:r>
            <a:r>
              <a:rPr lang="pt-BR" sz="1100" b="0" baseline="0">
                <a:solidFill>
                  <a:schemeClr val="tx1">
                    <a:lumMod val="75000"/>
                    <a:lumOff val="25000"/>
                  </a:schemeClr>
                </a:solidFill>
                <a:latin typeface="Open sans" panose="020B0606030504020204"/>
              </a:rPr>
              <a:t> do ano, com a possibilidade de </a:t>
            </a:r>
            <a:r>
              <a:rPr lang="pt-BR" sz="1100" b="1" baseline="0">
                <a:solidFill>
                  <a:srgbClr val="2AA62A"/>
                </a:solidFill>
                <a:latin typeface="Open sans" panose="020B0606030504020204"/>
                <a:ea typeface="+mn-ea"/>
                <a:cs typeface="+mn-cs"/>
              </a:rPr>
              <a:t>filtrar uma cidade</a:t>
            </a:r>
            <a:r>
              <a:rPr lang="pt-BR" sz="1100" b="0" baseline="0">
                <a:solidFill>
                  <a:schemeClr val="tx1">
                    <a:lumMod val="75000"/>
                    <a:lumOff val="25000"/>
                  </a:schemeClr>
                </a:solidFill>
                <a:latin typeface="Open sans" panose="020B0606030504020204"/>
              </a:rPr>
              <a:t> para mais detalhes.</a:t>
            </a:r>
          </a:p>
          <a:p>
            <a:endParaRPr lang="pt-BR" sz="1100" b="0" baseline="0">
              <a:solidFill>
                <a:schemeClr val="tx1">
                  <a:lumMod val="75000"/>
                  <a:lumOff val="25000"/>
                </a:schemeClr>
              </a:solidFill>
              <a:latin typeface="Open sans" panose="020B0606030504020204"/>
            </a:endParaRPr>
          </a:p>
        </xdr:txBody>
      </xdr:sp>
      <xdr:pic>
        <xdr:nvPicPr>
          <xdr:cNvPr id="7" name="Gráfico 6" descr="Lâmpada">
            <a:extLst>
              <a:ext uri="{FF2B5EF4-FFF2-40B4-BE49-F238E27FC236}">
                <a16:creationId xmlns:a16="http://schemas.microsoft.com/office/drawing/2014/main" id="{0671EB38-6981-48A0-862C-5194979FB62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810628" y="1536620"/>
            <a:ext cx="495298" cy="342123"/>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428625</xdr:colOff>
      <xdr:row>0</xdr:row>
      <xdr:rowOff>123824</xdr:rowOff>
    </xdr:from>
    <xdr:to>
      <xdr:col>7</xdr:col>
      <xdr:colOff>1704975</xdr:colOff>
      <xdr:row>5</xdr:row>
      <xdr:rowOff>123825</xdr:rowOff>
    </xdr:to>
    <xdr:sp macro="" textlink="">
      <xdr:nvSpPr>
        <xdr:cNvPr id="2" name="CaixaDeTexto 1">
          <a:extLst>
            <a:ext uri="{FF2B5EF4-FFF2-40B4-BE49-F238E27FC236}">
              <a16:creationId xmlns:a16="http://schemas.microsoft.com/office/drawing/2014/main" id="{49820AE4-869E-4A3E-83D0-F5313C35A309}"/>
            </a:ext>
          </a:extLst>
        </xdr:cNvPr>
        <xdr:cNvSpPr txBox="1"/>
      </xdr:nvSpPr>
      <xdr:spPr>
        <a:xfrm>
          <a:off x="1847850" y="123824"/>
          <a:ext cx="7467600" cy="10477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baseline="0">
              <a:solidFill>
                <a:schemeClr val="tx1">
                  <a:lumMod val="75000"/>
                  <a:lumOff val="25000"/>
                </a:schemeClr>
              </a:solidFill>
              <a:latin typeface="Open sans" panose="020B0606030504020204"/>
            </a:rPr>
            <a:t>Crie uma única </a:t>
          </a:r>
          <a:r>
            <a:rPr lang="pt-BR" sz="1100" b="1" baseline="0">
              <a:solidFill>
                <a:schemeClr val="tx1">
                  <a:lumMod val="75000"/>
                  <a:lumOff val="25000"/>
                </a:schemeClr>
              </a:solidFill>
              <a:latin typeface="Open sans" panose="020B0606030504020204"/>
            </a:rPr>
            <a:t>Macro</a:t>
          </a:r>
          <a:r>
            <a:rPr lang="pt-BR" sz="1100" b="0" baseline="0">
              <a:solidFill>
                <a:schemeClr val="tx1">
                  <a:lumMod val="75000"/>
                  <a:lumOff val="25000"/>
                </a:schemeClr>
              </a:solidFill>
              <a:latin typeface="Open sans" panose="020B0606030504020204"/>
            </a:rPr>
            <a:t> que seja capaz de formatar ambas as tabelas abaixo.</a:t>
          </a:r>
        </a:p>
        <a:p>
          <a:r>
            <a:rPr lang="pt-BR" sz="1100" b="0" baseline="0">
              <a:solidFill>
                <a:schemeClr val="tx1">
                  <a:lumMod val="75000"/>
                  <a:lumOff val="25000"/>
                </a:schemeClr>
              </a:solidFill>
              <a:latin typeface="Open sans" panose="020B0606030504020204"/>
            </a:rPr>
            <a:t>Linhas de grade, fonte, fundo, cores, etc... Confome você preferir. </a:t>
          </a:r>
        </a:p>
        <a:p>
          <a:r>
            <a:rPr lang="pt-BR" sz="1100" b="0" baseline="0">
              <a:solidFill>
                <a:schemeClr val="tx1">
                  <a:lumMod val="75000"/>
                  <a:lumOff val="25000"/>
                </a:schemeClr>
              </a:solidFill>
              <a:latin typeface="Open sans" panose="020B0606030504020204"/>
            </a:rPr>
            <a:t>O importante é que seja apenas uma macro e que consiga se adaptar e formatar as duas diferentes tabelas.</a:t>
          </a:r>
        </a:p>
        <a:p>
          <a:r>
            <a:rPr lang="pt-BR" sz="1100" b="0" baseline="0">
              <a:solidFill>
                <a:schemeClr val="tx1">
                  <a:lumMod val="75000"/>
                  <a:lumOff val="25000"/>
                </a:schemeClr>
              </a:solidFill>
              <a:latin typeface="Open sans" panose="020B0606030504020204"/>
            </a:rPr>
            <a:t>Crie um botão para a execução dessa macro.</a:t>
          </a:r>
        </a:p>
        <a:p>
          <a:r>
            <a:rPr lang="pt-BR" sz="1100" b="1" baseline="0">
              <a:solidFill>
                <a:schemeClr val="tx1">
                  <a:lumMod val="75000"/>
                  <a:lumOff val="25000"/>
                </a:schemeClr>
              </a:solidFill>
              <a:latin typeface="Open sans" panose="020B0606030504020204"/>
            </a:rPr>
            <a:t>*Não use a ferramenta formatar como tabela. Macros não lidam bem com ela.</a:t>
          </a:r>
        </a:p>
      </xdr:txBody>
    </xdr:sp>
    <xdr:clientData/>
  </xdr:twoCellAnchor>
  <xdr:twoCellAnchor editAs="absolute">
    <xdr:from>
      <xdr:col>1</xdr:col>
      <xdr:colOff>676275</xdr:colOff>
      <xdr:row>1</xdr:row>
      <xdr:rowOff>87993</xdr:rowOff>
    </xdr:from>
    <xdr:to>
      <xdr:col>2</xdr:col>
      <xdr:colOff>171450</xdr:colOff>
      <xdr:row>4</xdr:row>
      <xdr:rowOff>0</xdr:rowOff>
    </xdr:to>
    <xdr:pic>
      <xdr:nvPicPr>
        <xdr:cNvPr id="3" name="Imagem 2">
          <a:extLst>
            <a:ext uri="{FF2B5EF4-FFF2-40B4-BE49-F238E27FC236}">
              <a16:creationId xmlns:a16="http://schemas.microsoft.com/office/drawing/2014/main" id="{F04CEBD3-F9CC-4568-AD90-70039039C44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899" t="41968" r="29455" b="35695"/>
        <a:stretch/>
      </xdr:blipFill>
      <xdr:spPr>
        <a:xfrm>
          <a:off x="1057275" y="297543"/>
          <a:ext cx="533400" cy="540657"/>
        </a:xfrm>
        <a:prstGeom prst="rect">
          <a:avLst/>
        </a:prstGeom>
      </xdr:spPr>
    </xdr:pic>
    <xdr:clientData/>
  </xdr:twoCellAnchor>
  <xdr:twoCellAnchor editAs="absolute">
    <xdr:from>
      <xdr:col>2</xdr:col>
      <xdr:colOff>333375</xdr:colOff>
      <xdr:row>1</xdr:row>
      <xdr:rowOff>47625</xdr:rowOff>
    </xdr:from>
    <xdr:to>
      <xdr:col>2</xdr:col>
      <xdr:colOff>333375</xdr:colOff>
      <xdr:row>4</xdr:row>
      <xdr:rowOff>66975</xdr:rowOff>
    </xdr:to>
    <xdr:cxnSp macro="">
      <xdr:nvCxnSpPr>
        <xdr:cNvPr id="4" name="Conector reto 3">
          <a:extLst>
            <a:ext uri="{FF2B5EF4-FFF2-40B4-BE49-F238E27FC236}">
              <a16:creationId xmlns:a16="http://schemas.microsoft.com/office/drawing/2014/main" id="{5282A1AF-46E8-4049-9473-95BDC8420531}"/>
            </a:ext>
          </a:extLst>
        </xdr:cNvPr>
        <xdr:cNvCxnSpPr/>
      </xdr:nvCxnSpPr>
      <xdr:spPr>
        <a:xfrm>
          <a:off x="1752600" y="257175"/>
          <a:ext cx="0" cy="648000"/>
        </a:xfrm>
        <a:prstGeom prst="line">
          <a:avLst/>
        </a:prstGeom>
        <a:ln w="1905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C5B80-7513-4355-B8B0-A677B0456EF6}">
  <sheetPr codeName="Inicio"/>
  <dimension ref="A1:Y7"/>
  <sheetViews>
    <sheetView showGridLines="0" showRowColHeaders="0" zoomScale="85" zoomScaleNormal="85" workbookViewId="0">
      <selection activeCell="K26" sqref="K26"/>
    </sheetView>
  </sheetViews>
  <sheetFormatPr defaultRowHeight="15" customHeight="1"/>
  <cols>
    <col min="1" max="1" width="3.6640625" customWidth="1"/>
  </cols>
  <sheetData>
    <row r="1" spans="1:25" s="31" customFormat="1" ht="15" customHeight="1">
      <c r="B1" s="32"/>
      <c r="C1" s="32"/>
      <c r="D1" s="32"/>
      <c r="E1" s="33"/>
      <c r="F1" s="33"/>
      <c r="G1" s="33"/>
      <c r="H1" s="33"/>
      <c r="I1" s="33"/>
      <c r="J1" s="33"/>
      <c r="K1" s="33"/>
      <c r="L1" s="33"/>
      <c r="M1" s="33"/>
      <c r="N1" s="33"/>
      <c r="O1" s="33"/>
      <c r="P1" s="33"/>
      <c r="Q1" s="33"/>
      <c r="R1" s="33"/>
      <c r="S1" s="32"/>
      <c r="T1" s="32"/>
      <c r="U1" s="32"/>
      <c r="V1" s="32"/>
      <c r="W1" s="32"/>
      <c r="X1" s="32"/>
      <c r="Y1" s="32"/>
    </row>
    <row r="2" spans="1:25" s="31" customFormat="1" ht="15" customHeight="1">
      <c r="A2" s="32"/>
      <c r="B2" s="32"/>
      <c r="C2" s="32"/>
      <c r="D2" s="32"/>
      <c r="E2" s="33"/>
      <c r="F2" s="33"/>
      <c r="G2" s="33"/>
      <c r="H2" s="33"/>
      <c r="I2" s="33"/>
      <c r="J2" s="33"/>
      <c r="K2" s="33"/>
      <c r="L2" s="33"/>
      <c r="M2" s="33"/>
      <c r="N2" s="33"/>
      <c r="O2" s="33"/>
      <c r="P2" s="33"/>
      <c r="Q2" s="33"/>
      <c r="R2" s="33"/>
      <c r="S2" s="32"/>
      <c r="T2" s="32"/>
      <c r="U2" s="32"/>
      <c r="V2" s="32"/>
      <c r="W2" s="32"/>
      <c r="X2" s="32"/>
      <c r="Y2" s="32"/>
    </row>
    <row r="3" spans="1:25" s="31" customFormat="1" ht="15" customHeight="1">
      <c r="A3" s="32"/>
      <c r="B3" s="32"/>
      <c r="C3" s="32"/>
      <c r="D3" s="32"/>
      <c r="E3" s="33"/>
      <c r="F3" s="33"/>
      <c r="G3" s="33"/>
      <c r="H3" s="33"/>
      <c r="I3" s="33"/>
      <c r="J3" s="33"/>
      <c r="K3" s="33"/>
      <c r="L3" s="33"/>
      <c r="M3" s="33"/>
      <c r="N3" s="33"/>
      <c r="O3" s="33"/>
      <c r="P3" s="33"/>
      <c r="Q3" s="33"/>
      <c r="R3" s="33"/>
      <c r="S3" s="32"/>
      <c r="T3" s="32"/>
      <c r="U3" s="32"/>
      <c r="V3" s="32"/>
      <c r="W3" s="32"/>
      <c r="X3" s="32"/>
      <c r="Y3" s="32"/>
    </row>
    <row r="4" spans="1:25" s="31" customFormat="1" ht="15" customHeight="1">
      <c r="A4" s="32"/>
      <c r="B4" s="32"/>
      <c r="C4" s="32"/>
      <c r="D4" s="32"/>
      <c r="E4" s="33"/>
      <c r="F4" s="33"/>
      <c r="G4" s="33"/>
      <c r="H4" s="33"/>
      <c r="I4" s="33"/>
      <c r="J4" s="33"/>
      <c r="K4" s="33"/>
      <c r="L4" s="33"/>
      <c r="M4" s="33"/>
      <c r="N4" s="33"/>
      <c r="O4" s="33"/>
      <c r="P4" s="33"/>
      <c r="Q4" s="33"/>
      <c r="R4" s="33"/>
      <c r="S4" s="32"/>
      <c r="T4" s="32"/>
      <c r="U4" s="32"/>
      <c r="V4" s="32"/>
      <c r="W4" s="32"/>
      <c r="X4" s="32"/>
      <c r="Y4" s="32"/>
    </row>
    <row r="6" spans="1:25" s="34" customFormat="1" ht="15" customHeight="1"/>
    <row r="7" spans="1:25" s="35" customFormat="1" ht="5.0999999999999996" customHeight="1"/>
  </sheetData>
  <sheetProtection algorithmName="SHA-512" hashValue="kdm5ABQtZ067X+vrWKNOydRQ3yEDLEzUBzfmvGn9t+FPAZIiTv5GiwkX8gZYSSoq+5entVUa03fYpJbrw7dQVA==" saltValue="daDrXotX/5peTBzsBHlHbA==" spinCount="100000" sheet="1" objects="1" scenario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E1">
    <tabColor rgb="FF00B050"/>
  </sheetPr>
  <dimension ref="B8:M28"/>
  <sheetViews>
    <sheetView showGridLines="0" topLeftCell="A13" workbookViewId="0">
      <selection activeCell="F23" sqref="F23"/>
    </sheetView>
  </sheetViews>
  <sheetFormatPr defaultColWidth="12.6640625" defaultRowHeight="17.100000000000001" customHeight="1"/>
  <cols>
    <col min="1" max="1" width="5.6640625" style="10" customWidth="1"/>
    <col min="2" max="2" width="8.33203125" style="10" bestFit="1" customWidth="1"/>
    <col min="3" max="3" width="15.6640625" style="10" customWidth="1"/>
    <col min="4" max="5" width="15.6640625" style="12" customWidth="1"/>
    <col min="6" max="7" width="15.6640625" style="122" customWidth="1"/>
    <col min="8" max="9" width="15.6640625" style="128" customWidth="1"/>
    <col min="10" max="10" width="5.6640625" style="10" customWidth="1"/>
    <col min="11" max="12" width="17.6640625" style="10" customWidth="1"/>
    <col min="13" max="16384" width="12.6640625" style="10"/>
  </cols>
  <sheetData>
    <row r="8" spans="2:13" ht="17.100000000000001" customHeight="1">
      <c r="C8" s="48" t="s">
        <v>112</v>
      </c>
      <c r="D8" s="49">
        <v>5.97</v>
      </c>
      <c r="E8" s="10"/>
      <c r="F8" s="133"/>
    </row>
    <row r="9" spans="2:13" ht="17.100000000000001" customHeight="1" thickBot="1">
      <c r="C9" s="30"/>
      <c r="D9" s="47"/>
      <c r="E9" s="10"/>
    </row>
    <row r="10" spans="2:13" s="11" customFormat="1" ht="38.25" customHeight="1" thickBot="1">
      <c r="B10" s="53" t="s">
        <v>3</v>
      </c>
      <c r="C10" s="53" t="s">
        <v>31</v>
      </c>
      <c r="D10" s="53" t="s">
        <v>111</v>
      </c>
      <c r="E10" s="53" t="s">
        <v>115</v>
      </c>
      <c r="F10" s="123" t="s">
        <v>117</v>
      </c>
      <c r="G10" s="123" t="s">
        <v>114</v>
      </c>
      <c r="H10" s="129" t="s">
        <v>116</v>
      </c>
      <c r="I10" s="129" t="s">
        <v>113</v>
      </c>
      <c r="M10" s="10"/>
    </row>
    <row r="11" spans="2:13" s="11" customFormat="1" ht="17.100000000000001" customHeight="1" thickBot="1">
      <c r="B11" s="54" t="s">
        <v>6</v>
      </c>
      <c r="C11" s="54">
        <v>587</v>
      </c>
      <c r="D11" s="54">
        <v>54</v>
      </c>
      <c r="E11" s="54">
        <f>C11-D11</f>
        <v>533</v>
      </c>
      <c r="F11" s="83">
        <f>E11*$D$8</f>
        <v>3182.0099999999998</v>
      </c>
      <c r="G11" s="83">
        <f>D11*$D$8</f>
        <v>322.38</v>
      </c>
      <c r="H11" s="121">
        <f>(E11/C11)</f>
        <v>0.90800681431005115</v>
      </c>
      <c r="I11" s="121">
        <f>D11/C11</f>
        <v>9.1993185689948895E-2</v>
      </c>
      <c r="K11" s="10"/>
      <c r="L11" s="10"/>
      <c r="M11" s="10"/>
    </row>
    <row r="12" spans="2:13" s="11" customFormat="1" ht="17.100000000000001" customHeight="1" thickBot="1">
      <c r="B12" s="54" t="s">
        <v>7</v>
      </c>
      <c r="C12" s="54">
        <v>451</v>
      </c>
      <c r="D12" s="54">
        <v>59</v>
      </c>
      <c r="E12" s="54">
        <f t="shared" ref="E12:E22" si="0">C12-D12</f>
        <v>392</v>
      </c>
      <c r="F12" s="83">
        <f t="shared" ref="F12:F22" si="1">E12*$D$8</f>
        <v>2340.2399999999998</v>
      </c>
      <c r="G12" s="83">
        <f t="shared" ref="G12:G22" si="2">D12*$D$8</f>
        <v>352.22999999999996</v>
      </c>
      <c r="H12" s="121">
        <f t="shared" ref="H12:H22" si="3">(E12/C12)</f>
        <v>0.86917960088691792</v>
      </c>
      <c r="I12" s="121">
        <f t="shared" ref="I12:I22" si="4">D12/C12</f>
        <v>0.13082039911308205</v>
      </c>
      <c r="K12" s="10"/>
      <c r="L12" s="10"/>
      <c r="M12" s="10"/>
    </row>
    <row r="13" spans="2:13" ht="17.100000000000001" customHeight="1" thickBot="1">
      <c r="B13" s="54" t="s">
        <v>8</v>
      </c>
      <c r="C13" s="54">
        <v>582</v>
      </c>
      <c r="D13" s="54">
        <v>73</v>
      </c>
      <c r="E13" s="54">
        <f t="shared" si="0"/>
        <v>509</v>
      </c>
      <c r="F13" s="83">
        <f t="shared" si="1"/>
        <v>3038.73</v>
      </c>
      <c r="G13" s="83">
        <f t="shared" si="2"/>
        <v>435.81</v>
      </c>
      <c r="H13" s="121">
        <f t="shared" si="3"/>
        <v>0.87457044673539519</v>
      </c>
      <c r="I13" s="121">
        <f t="shared" si="4"/>
        <v>0.12542955326460481</v>
      </c>
    </row>
    <row r="14" spans="2:13" ht="17.100000000000001" customHeight="1" thickBot="1">
      <c r="B14" s="54" t="s">
        <v>17</v>
      </c>
      <c r="C14" s="54">
        <v>553</v>
      </c>
      <c r="D14" s="54">
        <v>66</v>
      </c>
      <c r="E14" s="54">
        <f t="shared" si="0"/>
        <v>487</v>
      </c>
      <c r="F14" s="83">
        <f t="shared" si="1"/>
        <v>2907.39</v>
      </c>
      <c r="G14" s="83">
        <f t="shared" si="2"/>
        <v>394.02</v>
      </c>
      <c r="H14" s="121">
        <f t="shared" si="3"/>
        <v>0.88065099457504525</v>
      </c>
      <c r="I14" s="121">
        <f t="shared" si="4"/>
        <v>0.11934900542495479</v>
      </c>
    </row>
    <row r="15" spans="2:13" ht="17.100000000000001" customHeight="1" thickBot="1">
      <c r="B15" s="54" t="s">
        <v>18</v>
      </c>
      <c r="C15" s="54">
        <v>486</v>
      </c>
      <c r="D15" s="54">
        <v>68</v>
      </c>
      <c r="E15" s="54">
        <f t="shared" si="0"/>
        <v>418</v>
      </c>
      <c r="F15" s="83">
        <f t="shared" si="1"/>
        <v>2495.46</v>
      </c>
      <c r="G15" s="83">
        <f t="shared" si="2"/>
        <v>405.96</v>
      </c>
      <c r="H15" s="121">
        <f t="shared" si="3"/>
        <v>0.86008230452674894</v>
      </c>
      <c r="I15" s="121">
        <f t="shared" si="4"/>
        <v>0.13991769547325103</v>
      </c>
    </row>
    <row r="16" spans="2:13" ht="17.100000000000001" customHeight="1" thickBot="1">
      <c r="B16" s="54" t="s">
        <v>9</v>
      </c>
      <c r="C16" s="54">
        <v>581</v>
      </c>
      <c r="D16" s="54">
        <v>78</v>
      </c>
      <c r="E16" s="54">
        <f t="shared" si="0"/>
        <v>503</v>
      </c>
      <c r="F16" s="83">
        <f t="shared" si="1"/>
        <v>3002.91</v>
      </c>
      <c r="G16" s="83">
        <f t="shared" si="2"/>
        <v>465.65999999999997</v>
      </c>
      <c r="H16" s="121">
        <f t="shared" si="3"/>
        <v>0.86574870912220314</v>
      </c>
      <c r="I16" s="121">
        <f t="shared" si="4"/>
        <v>0.13425129087779691</v>
      </c>
    </row>
    <row r="17" spans="2:10" ht="17.100000000000001" customHeight="1" thickBot="1">
      <c r="B17" s="54" t="s">
        <v>10</v>
      </c>
      <c r="C17" s="54">
        <v>415</v>
      </c>
      <c r="D17" s="54">
        <v>62</v>
      </c>
      <c r="E17" s="54">
        <f t="shared" si="0"/>
        <v>353</v>
      </c>
      <c r="F17" s="83">
        <f t="shared" si="1"/>
        <v>2107.41</v>
      </c>
      <c r="G17" s="83">
        <f t="shared" si="2"/>
        <v>370.14</v>
      </c>
      <c r="H17" s="121">
        <f t="shared" si="3"/>
        <v>0.85060240963855427</v>
      </c>
      <c r="I17" s="121">
        <f t="shared" si="4"/>
        <v>0.14939759036144579</v>
      </c>
    </row>
    <row r="18" spans="2:10" ht="17.100000000000001" customHeight="1" thickBot="1">
      <c r="B18" s="54" t="s">
        <v>11</v>
      </c>
      <c r="C18" s="54">
        <v>564</v>
      </c>
      <c r="D18" s="54">
        <v>67</v>
      </c>
      <c r="E18" s="54">
        <f t="shared" si="0"/>
        <v>497</v>
      </c>
      <c r="F18" s="83">
        <f t="shared" si="1"/>
        <v>2967.0899999999997</v>
      </c>
      <c r="G18" s="83">
        <f t="shared" si="2"/>
        <v>399.99</v>
      </c>
      <c r="H18" s="121">
        <f t="shared" si="3"/>
        <v>0.88120567375886527</v>
      </c>
      <c r="I18" s="121">
        <f t="shared" si="4"/>
        <v>0.11879432624113476</v>
      </c>
    </row>
    <row r="19" spans="2:10" ht="17.100000000000001" customHeight="1" thickBot="1">
      <c r="B19" s="54" t="s">
        <v>12</v>
      </c>
      <c r="C19" s="54">
        <v>445</v>
      </c>
      <c r="D19" s="54">
        <v>25</v>
      </c>
      <c r="E19" s="54">
        <f t="shared" si="0"/>
        <v>420</v>
      </c>
      <c r="F19" s="83">
        <f t="shared" si="1"/>
        <v>2507.4</v>
      </c>
      <c r="G19" s="83">
        <f t="shared" si="2"/>
        <v>149.25</v>
      </c>
      <c r="H19" s="121">
        <f t="shared" si="3"/>
        <v>0.9438202247191011</v>
      </c>
      <c r="I19" s="121">
        <f t="shared" si="4"/>
        <v>5.6179775280898875E-2</v>
      </c>
    </row>
    <row r="20" spans="2:10" ht="17.100000000000001" customHeight="1" thickBot="1">
      <c r="B20" s="54" t="s">
        <v>13</v>
      </c>
      <c r="C20" s="54">
        <v>434</v>
      </c>
      <c r="D20" s="54">
        <v>40</v>
      </c>
      <c r="E20" s="54">
        <f t="shared" si="0"/>
        <v>394</v>
      </c>
      <c r="F20" s="83">
        <f t="shared" si="1"/>
        <v>2352.1799999999998</v>
      </c>
      <c r="G20" s="83">
        <f t="shared" si="2"/>
        <v>238.79999999999998</v>
      </c>
      <c r="H20" s="121">
        <f t="shared" si="3"/>
        <v>0.90783410138248843</v>
      </c>
      <c r="I20" s="121">
        <f t="shared" si="4"/>
        <v>9.2165898617511524E-2</v>
      </c>
    </row>
    <row r="21" spans="2:10" ht="17.100000000000001" customHeight="1" thickBot="1">
      <c r="B21" s="54" t="s">
        <v>14</v>
      </c>
      <c r="C21" s="54">
        <v>522</v>
      </c>
      <c r="D21" s="54">
        <v>41</v>
      </c>
      <c r="E21" s="54">
        <f t="shared" si="0"/>
        <v>481</v>
      </c>
      <c r="F21" s="83">
        <f t="shared" si="1"/>
        <v>2871.5699999999997</v>
      </c>
      <c r="G21" s="83">
        <f t="shared" si="2"/>
        <v>244.76999999999998</v>
      </c>
      <c r="H21" s="121">
        <f t="shared" si="3"/>
        <v>0.92145593869731801</v>
      </c>
      <c r="I21" s="121">
        <f t="shared" si="4"/>
        <v>7.8544061302681989E-2</v>
      </c>
    </row>
    <row r="22" spans="2:10" ht="17.100000000000001" customHeight="1" thickBot="1">
      <c r="B22" s="54" t="s">
        <v>15</v>
      </c>
      <c r="C22" s="54">
        <v>581</v>
      </c>
      <c r="D22" s="54">
        <v>39</v>
      </c>
      <c r="E22" s="54">
        <f t="shared" si="0"/>
        <v>542</v>
      </c>
      <c r="F22" s="83">
        <f t="shared" si="1"/>
        <v>3235.74</v>
      </c>
      <c r="G22" s="83">
        <f t="shared" si="2"/>
        <v>232.82999999999998</v>
      </c>
      <c r="H22" s="121">
        <f t="shared" si="3"/>
        <v>0.93287435456110157</v>
      </c>
      <c r="I22" s="121">
        <f t="shared" si="4"/>
        <v>6.7125645438898457E-2</v>
      </c>
    </row>
    <row r="23" spans="2:10" ht="17.100000000000001" customHeight="1">
      <c r="B23" s="50"/>
      <c r="C23" s="50"/>
      <c r="D23" s="50"/>
      <c r="E23" s="50"/>
      <c r="F23" s="124"/>
      <c r="G23" s="124"/>
      <c r="H23" s="51"/>
      <c r="I23" s="51"/>
    </row>
    <row r="24" spans="2:10" ht="17.100000000000001" customHeight="1" thickBot="1">
      <c r="B24" s="55" t="s">
        <v>0</v>
      </c>
      <c r="C24" s="58">
        <f>SUM(C11:C22)</f>
        <v>6201</v>
      </c>
      <c r="D24" s="58">
        <f t="shared" ref="D24:I24" si="5">SUM(D11:D22)</f>
        <v>672</v>
      </c>
      <c r="E24" s="58">
        <f t="shared" si="5"/>
        <v>5529</v>
      </c>
      <c r="F24" s="125">
        <f t="shared" si="5"/>
        <v>33008.129999999997</v>
      </c>
      <c r="G24" s="125">
        <f t="shared" si="5"/>
        <v>4011.8399999999997</v>
      </c>
      <c r="H24" s="130">
        <f t="shared" si="5"/>
        <v>10.696031572913791</v>
      </c>
      <c r="I24" s="130">
        <f t="shared" si="5"/>
        <v>1.3039684270862097</v>
      </c>
      <c r="J24" s="59"/>
    </row>
    <row r="25" spans="2:10" ht="17.100000000000001" customHeight="1" thickBot="1">
      <c r="B25" s="56" t="s">
        <v>32</v>
      </c>
      <c r="C25" s="60">
        <f>AVERAGE(C11:C22)</f>
        <v>516.75</v>
      </c>
      <c r="D25" s="60">
        <f t="shared" ref="D25:I25" si="6">AVERAGE(D11:D22)</f>
        <v>56</v>
      </c>
      <c r="E25" s="60">
        <f t="shared" si="6"/>
        <v>460.75</v>
      </c>
      <c r="F25" s="126">
        <f t="shared" si="6"/>
        <v>2750.6774999999998</v>
      </c>
      <c r="G25" s="126">
        <f t="shared" si="6"/>
        <v>334.32</v>
      </c>
      <c r="H25" s="131">
        <f t="shared" si="6"/>
        <v>0.8913359644094826</v>
      </c>
      <c r="I25" s="131">
        <f t="shared" si="6"/>
        <v>0.10866403559051747</v>
      </c>
      <c r="J25" s="59"/>
    </row>
    <row r="26" spans="2:10" ht="17.100000000000001" customHeight="1" thickBot="1">
      <c r="B26" s="56" t="s">
        <v>20</v>
      </c>
      <c r="C26" s="61">
        <f>MAX(C11:C22)</f>
        <v>587</v>
      </c>
      <c r="D26" s="61">
        <f t="shared" ref="D26:I26" si="7">MAX(D11:D22)</f>
        <v>78</v>
      </c>
      <c r="E26" s="61">
        <f t="shared" si="7"/>
        <v>542</v>
      </c>
      <c r="F26" s="126">
        <f t="shared" si="7"/>
        <v>3235.74</v>
      </c>
      <c r="G26" s="126">
        <f t="shared" si="7"/>
        <v>465.65999999999997</v>
      </c>
      <c r="H26" s="131">
        <f t="shared" si="7"/>
        <v>0.9438202247191011</v>
      </c>
      <c r="I26" s="131">
        <f t="shared" si="7"/>
        <v>0.14939759036144579</v>
      </c>
      <c r="J26" s="59"/>
    </row>
    <row r="27" spans="2:10" ht="17.100000000000001" customHeight="1">
      <c r="B27" s="57" t="s">
        <v>5</v>
      </c>
      <c r="C27" s="62">
        <f>MIN(C11:C22)</f>
        <v>415</v>
      </c>
      <c r="D27" s="62">
        <f t="shared" ref="D27:I27" si="8">MIN(D11:D22)</f>
        <v>25</v>
      </c>
      <c r="E27" s="62">
        <f t="shared" si="8"/>
        <v>353</v>
      </c>
      <c r="F27" s="127">
        <f t="shared" si="8"/>
        <v>2107.41</v>
      </c>
      <c r="G27" s="127">
        <f t="shared" si="8"/>
        <v>149.25</v>
      </c>
      <c r="H27" s="132">
        <f t="shared" si="8"/>
        <v>0.85060240963855427</v>
      </c>
      <c r="I27" s="132">
        <f t="shared" si="8"/>
        <v>5.6179775280898875E-2</v>
      </c>
      <c r="J27" s="59"/>
    </row>
    <row r="28" spans="2:10" ht="17.100000000000001" customHeight="1">
      <c r="D28" s="10"/>
      <c r="E28" s="10"/>
    </row>
  </sheetData>
  <sheetProtection formatCells="0" formatColumns="0" formatRows="0" insertColumns="0" insertRows="0" insertHyperlinks="0" deleteColumns="0" deleteRows="0" sort="0" autoFilter="0" pivotTables="0"/>
  <pageMargins left="0.78740157499999996" right="0.78740157499999996" top="0.984251969" bottom="0.984251969" header="0.49212598499999999" footer="0.49212598499999999"/>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FAF3A-C310-46FC-B4FF-A910646078F4}">
  <sheetPr codeName="E3">
    <tabColor rgb="FF00B050"/>
  </sheetPr>
  <dimension ref="B6:J41"/>
  <sheetViews>
    <sheetView showGridLines="0" topLeftCell="A4" zoomScaleNormal="100" workbookViewId="0">
      <selection activeCell="C8" sqref="C8"/>
    </sheetView>
  </sheetViews>
  <sheetFormatPr defaultColWidth="12.6640625" defaultRowHeight="17.100000000000001" customHeight="1"/>
  <cols>
    <col min="1" max="1" width="5.6640625" style="1" customWidth="1"/>
    <col min="2" max="2" width="19.44140625" style="1" bestFit="1" customWidth="1"/>
    <col min="3" max="3" width="27" style="1" customWidth="1"/>
    <col min="4" max="5" width="27.33203125" style="2" customWidth="1"/>
    <col min="6" max="6" width="27.33203125" style="1" customWidth="1"/>
    <col min="7" max="7" width="5.6640625" style="1" customWidth="1"/>
    <col min="8" max="8" width="8.109375" style="1" bestFit="1" customWidth="1"/>
    <col min="9" max="9" width="17.6640625" style="1" customWidth="1"/>
    <col min="10" max="16384" width="12.6640625" style="1"/>
  </cols>
  <sheetData>
    <row r="6" spans="2:10" ht="17.100000000000001" customHeight="1">
      <c r="D6" s="1"/>
      <c r="E6" s="1"/>
    </row>
    <row r="7" spans="2:10" s="3" customFormat="1" ht="17.100000000000001" customHeight="1">
      <c r="G7"/>
    </row>
    <row r="8" spans="2:10" s="3" customFormat="1" ht="24.75" customHeight="1">
      <c r="B8" s="9" t="s">
        <v>72</v>
      </c>
      <c r="C8" s="134" t="s">
        <v>138</v>
      </c>
      <c r="E8" s="9" t="s">
        <v>73</v>
      </c>
      <c r="F8" s="52">
        <f>VLOOKUP(C8,B11:D20,3)</f>
        <v>147249.62</v>
      </c>
      <c r="J8" s="1"/>
    </row>
    <row r="9" spans="2:10" s="3" customFormat="1" ht="17.100000000000001" customHeight="1">
      <c r="H9" s="1"/>
      <c r="I9" s="1"/>
      <c r="J9" s="1"/>
    </row>
    <row r="10" spans="2:10" s="3" customFormat="1" ht="17.100000000000001" customHeight="1" thickBot="1">
      <c r="B10" s="105" t="s">
        <v>69</v>
      </c>
      <c r="C10" s="105"/>
      <c r="D10" s="105"/>
      <c r="E10" s="105"/>
      <c r="F10" s="105"/>
      <c r="H10" s="1"/>
      <c r="I10" s="1"/>
      <c r="J10" s="1"/>
    </row>
    <row r="11" spans="2:10" ht="21" customHeight="1" thickBot="1">
      <c r="B11" s="63" t="s">
        <v>57</v>
      </c>
      <c r="C11" s="63" t="s">
        <v>67</v>
      </c>
      <c r="D11" s="63" t="s">
        <v>68</v>
      </c>
      <c r="E11" s="63" t="s">
        <v>56</v>
      </c>
      <c r="F11" s="63" t="s">
        <v>55</v>
      </c>
    </row>
    <row r="12" spans="2:10" ht="17.100000000000001" customHeight="1" thickBot="1">
      <c r="B12" s="64" t="s">
        <v>58</v>
      </c>
      <c r="C12" s="65">
        <v>43990</v>
      </c>
      <c r="D12" s="65">
        <f>(C12*6.78%)+C12</f>
        <v>46972.521999999997</v>
      </c>
      <c r="E12" s="65">
        <v>27980</v>
      </c>
      <c r="F12" s="66">
        <f>D12-E12</f>
        <v>18992.521999999997</v>
      </c>
    </row>
    <row r="13" spans="2:10" ht="17.100000000000001" customHeight="1" thickBot="1">
      <c r="B13" s="64" t="s">
        <v>61</v>
      </c>
      <c r="C13" s="65">
        <v>51590</v>
      </c>
      <c r="D13" s="65">
        <f t="shared" ref="D13:D20" si="0">(C13*6.78%)+C13</f>
        <v>55087.802000000003</v>
      </c>
      <c r="E13" s="65">
        <v>31200</v>
      </c>
      <c r="F13" s="66">
        <f t="shared" ref="F13:F20" si="1">D13-E13</f>
        <v>23887.802000000003</v>
      </c>
    </row>
    <row r="14" spans="2:10" ht="17.100000000000001" customHeight="1" thickBot="1">
      <c r="B14" s="67" t="s">
        <v>62</v>
      </c>
      <c r="C14" s="68">
        <v>63100</v>
      </c>
      <c r="D14" s="65">
        <f t="shared" si="0"/>
        <v>67378.179999999993</v>
      </c>
      <c r="E14" s="65">
        <v>45210</v>
      </c>
      <c r="F14" s="66">
        <f t="shared" si="1"/>
        <v>22168.179999999993</v>
      </c>
    </row>
    <row r="15" spans="2:10" ht="17.100000000000001" customHeight="1" thickBot="1">
      <c r="B15" s="64" t="s">
        <v>63</v>
      </c>
      <c r="C15" s="65">
        <v>74990</v>
      </c>
      <c r="D15" s="65">
        <f t="shared" si="0"/>
        <v>80074.322</v>
      </c>
      <c r="E15" s="65">
        <v>49789</v>
      </c>
      <c r="F15" s="66">
        <f t="shared" si="1"/>
        <v>30285.322</v>
      </c>
    </row>
    <row r="16" spans="2:10" ht="17.100000000000001" customHeight="1" thickBot="1">
      <c r="B16" s="64" t="s">
        <v>64</v>
      </c>
      <c r="C16" s="65">
        <v>196702</v>
      </c>
      <c r="D16" s="65">
        <f t="shared" si="0"/>
        <v>210038.39559999999</v>
      </c>
      <c r="E16" s="65">
        <v>85000</v>
      </c>
      <c r="F16" s="66">
        <f t="shared" si="1"/>
        <v>125038.39559999999</v>
      </c>
    </row>
    <row r="17" spans="2:6" ht="17.100000000000001" customHeight="1" thickBot="1">
      <c r="B17" s="64" t="s">
        <v>65</v>
      </c>
      <c r="C17" s="65">
        <v>90414</v>
      </c>
      <c r="D17" s="65">
        <f t="shared" si="0"/>
        <v>96544.069199999998</v>
      </c>
      <c r="E17" s="65">
        <v>56870</v>
      </c>
      <c r="F17" s="66">
        <f t="shared" si="1"/>
        <v>39674.069199999998</v>
      </c>
    </row>
    <row r="18" spans="2:6" ht="17.100000000000001" customHeight="1" thickBot="1">
      <c r="B18" s="64" t="s">
        <v>66</v>
      </c>
      <c r="C18" s="65">
        <v>189900</v>
      </c>
      <c r="D18" s="65">
        <f t="shared" si="0"/>
        <v>202775.22</v>
      </c>
      <c r="E18" s="65">
        <v>92100</v>
      </c>
      <c r="F18" s="66">
        <f t="shared" si="1"/>
        <v>110675.22</v>
      </c>
    </row>
    <row r="19" spans="2:6" ht="17.100000000000001" customHeight="1" thickBot="1">
      <c r="B19" s="64" t="s">
        <v>59</v>
      </c>
      <c r="C19" s="65">
        <v>137900</v>
      </c>
      <c r="D19" s="65">
        <f t="shared" si="0"/>
        <v>147249.62</v>
      </c>
      <c r="E19" s="65">
        <v>82100</v>
      </c>
      <c r="F19" s="66">
        <f t="shared" si="1"/>
        <v>65149.619999999995</v>
      </c>
    </row>
    <row r="20" spans="2:6" ht="17.100000000000001" customHeight="1" thickBot="1">
      <c r="B20" s="64" t="s">
        <v>60</v>
      </c>
      <c r="C20" s="65">
        <v>99990</v>
      </c>
      <c r="D20" s="65">
        <f t="shared" si="0"/>
        <v>106769.322</v>
      </c>
      <c r="E20" s="65">
        <v>59000</v>
      </c>
      <c r="F20" s="66">
        <f t="shared" si="1"/>
        <v>47769.322</v>
      </c>
    </row>
    <row r="34" spans="5:5" ht="17.100000000000001" customHeight="1">
      <c r="E34" s="7"/>
    </row>
    <row r="35" spans="5:5" ht="17.100000000000001" customHeight="1">
      <c r="E35" s="8"/>
    </row>
    <row r="36" spans="5:5" ht="17.100000000000001" customHeight="1">
      <c r="E36" s="8"/>
    </row>
    <row r="37" spans="5:5" ht="17.100000000000001" customHeight="1">
      <c r="E37" s="8"/>
    </row>
    <row r="38" spans="5:5" ht="17.100000000000001" customHeight="1">
      <c r="E38" s="8"/>
    </row>
    <row r="39" spans="5:5" ht="17.100000000000001" customHeight="1">
      <c r="E39" s="8"/>
    </row>
    <row r="40" spans="5:5" ht="17.100000000000001" customHeight="1">
      <c r="E40" s="8"/>
    </row>
    <row r="41" spans="5:5" ht="17.100000000000001" customHeight="1">
      <c r="E41" s="8"/>
    </row>
  </sheetData>
  <mergeCells count="1">
    <mergeCell ref="B10:F10"/>
  </mergeCells>
  <pageMargins left="0.78740157499999996" right="0.78740157499999996" top="0.984251969" bottom="0.984251969" header="0.49212598499999999" footer="0.49212598499999999"/>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C2A92-4F32-4230-82C6-43D8194D41FB}">
  <sheetPr codeName="E4">
    <tabColor rgb="FF00B050"/>
  </sheetPr>
  <dimension ref="B6:N23"/>
  <sheetViews>
    <sheetView showGridLines="0" tabSelected="1" workbookViewId="0">
      <selection activeCell="P15" sqref="P15"/>
    </sheetView>
  </sheetViews>
  <sheetFormatPr defaultColWidth="12.6640625" defaultRowHeight="17.100000000000001" customHeight="1"/>
  <cols>
    <col min="1" max="1" width="5.6640625" style="1" customWidth="1"/>
    <col min="2" max="2" width="10.109375" style="1" bestFit="1" customWidth="1"/>
    <col min="3" max="3" width="22.44140625" style="1" bestFit="1" customWidth="1"/>
    <col min="4" max="4" width="12.6640625" style="2" bestFit="1" customWidth="1"/>
    <col min="5" max="5" width="11.5546875" style="2" bestFit="1" customWidth="1"/>
    <col min="6" max="6" width="9.88671875" style="1" bestFit="1" customWidth="1"/>
    <col min="7" max="7" width="10.88671875" style="1" bestFit="1" customWidth="1"/>
    <col min="8" max="8" width="16" style="1" bestFit="1" customWidth="1"/>
    <col min="9" max="9" width="12.5546875" style="1" bestFit="1" customWidth="1"/>
    <col min="10" max="10" width="9.6640625" style="1" customWidth="1"/>
    <col min="11" max="11" width="13.88671875" style="1" customWidth="1"/>
    <col min="12" max="12" width="5.6640625" style="1" customWidth="1"/>
    <col min="13" max="14" width="15.6640625" style="1" customWidth="1"/>
    <col min="15" max="16384" width="12.6640625" style="1"/>
  </cols>
  <sheetData>
    <row r="6" spans="2:11" ht="17.100000000000001" customHeight="1" thickBot="1">
      <c r="B6"/>
      <c r="C6"/>
      <c r="D6"/>
      <c r="E6"/>
      <c r="F6"/>
      <c r="G6"/>
      <c r="H6"/>
      <c r="I6"/>
      <c r="J6"/>
      <c r="K6"/>
    </row>
    <row r="7" spans="2:11" s="3" customFormat="1" ht="17.100000000000001" customHeight="1" thickBot="1">
      <c r="B7" s="69" t="s">
        <v>33</v>
      </c>
      <c r="C7" s="69" t="s">
        <v>1</v>
      </c>
      <c r="D7" s="69" t="s">
        <v>34</v>
      </c>
      <c r="E7" s="69" t="s">
        <v>35</v>
      </c>
      <c r="F7" s="69" t="s">
        <v>124</v>
      </c>
      <c r="G7" s="69" t="s">
        <v>125</v>
      </c>
      <c r="H7" s="69" t="s">
        <v>36</v>
      </c>
      <c r="I7" s="69" t="s">
        <v>126</v>
      </c>
      <c r="J7" s="69" t="s">
        <v>32</v>
      </c>
      <c r="K7" s="69" t="s">
        <v>53</v>
      </c>
    </row>
    <row r="8" spans="2:11" s="3" customFormat="1" ht="17.100000000000001" customHeight="1" thickBot="1">
      <c r="B8" s="70">
        <v>100</v>
      </c>
      <c r="C8" s="71" t="s">
        <v>37</v>
      </c>
      <c r="D8" s="71" t="s">
        <v>38</v>
      </c>
      <c r="E8" s="72">
        <v>7</v>
      </c>
      <c r="F8" s="72">
        <v>1</v>
      </c>
      <c r="G8" s="72">
        <v>1</v>
      </c>
      <c r="H8" s="72">
        <v>3</v>
      </c>
      <c r="I8" s="72">
        <v>2</v>
      </c>
      <c r="J8" s="73"/>
      <c r="K8" s="74"/>
    </row>
    <row r="9" spans="2:11" s="3" customFormat="1" ht="17.100000000000001" customHeight="1" thickBot="1">
      <c r="B9" s="70">
        <v>101</v>
      </c>
      <c r="C9" s="71" t="s">
        <v>39</v>
      </c>
      <c r="D9" s="71" t="s">
        <v>40</v>
      </c>
      <c r="E9" s="72">
        <v>7</v>
      </c>
      <c r="F9" s="72">
        <v>6</v>
      </c>
      <c r="G9" s="72">
        <v>5</v>
      </c>
      <c r="H9" s="72">
        <v>5</v>
      </c>
      <c r="I9" s="72">
        <v>10</v>
      </c>
      <c r="J9" s="73"/>
      <c r="K9" s="74"/>
    </row>
    <row r="10" spans="2:11" s="3" customFormat="1" ht="17.100000000000001" customHeight="1" thickBot="1">
      <c r="B10" s="70">
        <v>102</v>
      </c>
      <c r="C10" s="71" t="s">
        <v>41</v>
      </c>
      <c r="D10" s="71" t="s">
        <v>42</v>
      </c>
      <c r="E10" s="72">
        <v>9</v>
      </c>
      <c r="F10" s="72">
        <v>6</v>
      </c>
      <c r="G10" s="72">
        <v>5</v>
      </c>
      <c r="H10" s="72">
        <v>6</v>
      </c>
      <c r="I10" s="72">
        <v>2</v>
      </c>
      <c r="J10" s="73"/>
      <c r="K10" s="74"/>
    </row>
    <row r="11" spans="2:11" ht="17.100000000000001" customHeight="1" thickBot="1">
      <c r="B11" s="70">
        <v>103</v>
      </c>
      <c r="C11" s="71" t="s">
        <v>43</v>
      </c>
      <c r="D11" s="71" t="s">
        <v>38</v>
      </c>
      <c r="E11" s="72">
        <v>6</v>
      </c>
      <c r="F11" s="72">
        <v>5</v>
      </c>
      <c r="G11" s="72">
        <v>5</v>
      </c>
      <c r="H11" s="72">
        <v>5</v>
      </c>
      <c r="I11" s="72">
        <v>4</v>
      </c>
      <c r="J11" s="73"/>
      <c r="K11" s="74"/>
    </row>
    <row r="12" spans="2:11" ht="17.100000000000001" customHeight="1" thickBot="1">
      <c r="B12" s="70">
        <v>104</v>
      </c>
      <c r="C12" s="71" t="s">
        <v>44</v>
      </c>
      <c r="D12" s="71" t="s">
        <v>42</v>
      </c>
      <c r="E12" s="72">
        <v>8</v>
      </c>
      <c r="F12" s="72">
        <v>6</v>
      </c>
      <c r="G12" s="72">
        <v>5</v>
      </c>
      <c r="H12" s="72">
        <v>7</v>
      </c>
      <c r="I12" s="72">
        <v>8</v>
      </c>
      <c r="J12" s="73"/>
      <c r="K12" s="74"/>
    </row>
    <row r="13" spans="2:11" ht="17.100000000000001" customHeight="1" thickBot="1">
      <c r="B13" s="70">
        <v>105</v>
      </c>
      <c r="C13" s="71" t="s">
        <v>45</v>
      </c>
      <c r="D13" s="71" t="s">
        <v>38</v>
      </c>
      <c r="E13" s="72">
        <v>10</v>
      </c>
      <c r="F13" s="72">
        <v>7</v>
      </c>
      <c r="G13" s="72">
        <v>1</v>
      </c>
      <c r="H13" s="72">
        <v>2</v>
      </c>
      <c r="I13" s="72">
        <v>6</v>
      </c>
      <c r="J13" s="73"/>
      <c r="K13" s="74"/>
    </row>
    <row r="14" spans="2:11" ht="17.100000000000001" customHeight="1" thickBot="1">
      <c r="B14" s="70">
        <v>106</v>
      </c>
      <c r="C14" s="71" t="s">
        <v>46</v>
      </c>
      <c r="D14" s="71" t="s">
        <v>38</v>
      </c>
      <c r="E14" s="72">
        <v>7</v>
      </c>
      <c r="F14" s="72">
        <v>7</v>
      </c>
      <c r="G14" s="72">
        <v>7</v>
      </c>
      <c r="H14" s="72">
        <v>8</v>
      </c>
      <c r="I14" s="72">
        <v>6</v>
      </c>
      <c r="J14" s="73"/>
      <c r="K14" s="74"/>
    </row>
    <row r="15" spans="2:11" ht="17.100000000000001" customHeight="1" thickBot="1">
      <c r="B15" s="70">
        <v>107</v>
      </c>
      <c r="C15" s="71" t="s">
        <v>47</v>
      </c>
      <c r="D15" s="71" t="s">
        <v>38</v>
      </c>
      <c r="E15" s="72">
        <v>7</v>
      </c>
      <c r="F15" s="72">
        <v>7</v>
      </c>
      <c r="G15" s="72">
        <v>5</v>
      </c>
      <c r="H15" s="72">
        <v>1</v>
      </c>
      <c r="I15" s="72">
        <v>4</v>
      </c>
      <c r="J15" s="73"/>
      <c r="K15" s="74"/>
    </row>
    <row r="16" spans="2:11" ht="17.100000000000001" customHeight="1" thickBot="1">
      <c r="B16" s="70">
        <v>108</v>
      </c>
      <c r="C16" s="71" t="s">
        <v>48</v>
      </c>
      <c r="D16" s="71" t="s">
        <v>38</v>
      </c>
      <c r="E16" s="72">
        <v>4</v>
      </c>
      <c r="F16" s="72">
        <v>6</v>
      </c>
      <c r="G16" s="72">
        <v>2</v>
      </c>
      <c r="H16" s="72">
        <v>1</v>
      </c>
      <c r="I16" s="72">
        <v>6</v>
      </c>
      <c r="J16" s="73"/>
      <c r="K16" s="74"/>
    </row>
    <row r="17" spans="2:14" ht="17.100000000000001" customHeight="1" thickBot="1">
      <c r="B17" s="70">
        <v>109</v>
      </c>
      <c r="C17" s="71" t="s">
        <v>49</v>
      </c>
      <c r="D17" s="71" t="s">
        <v>38</v>
      </c>
      <c r="E17" s="72">
        <v>4</v>
      </c>
      <c r="F17" s="72">
        <v>8</v>
      </c>
      <c r="G17" s="72">
        <v>8</v>
      </c>
      <c r="H17" s="72">
        <v>7</v>
      </c>
      <c r="I17" s="72">
        <v>6</v>
      </c>
      <c r="J17" s="73"/>
      <c r="K17" s="74"/>
    </row>
    <row r="18" spans="2:14" ht="17.100000000000001" customHeight="1" thickBot="1">
      <c r="B18" s="70">
        <v>110</v>
      </c>
      <c r="C18" s="71" t="s">
        <v>50</v>
      </c>
      <c r="D18" s="71" t="s">
        <v>38</v>
      </c>
      <c r="E18" s="72">
        <v>9</v>
      </c>
      <c r="F18" s="72">
        <v>6</v>
      </c>
      <c r="G18" s="72">
        <v>1</v>
      </c>
      <c r="H18" s="72">
        <v>5</v>
      </c>
      <c r="I18" s="72">
        <v>5</v>
      </c>
      <c r="J18" s="73"/>
      <c r="K18" s="74"/>
    </row>
    <row r="19" spans="2:14" ht="17.100000000000001" customHeight="1" thickBot="1">
      <c r="B19" s="70">
        <v>111</v>
      </c>
      <c r="C19" s="71" t="s">
        <v>51</v>
      </c>
      <c r="D19" s="71" t="s">
        <v>38</v>
      </c>
      <c r="E19" s="72">
        <v>1</v>
      </c>
      <c r="F19" s="72">
        <v>3</v>
      </c>
      <c r="G19" s="72">
        <v>1</v>
      </c>
      <c r="H19" s="72">
        <v>1</v>
      </c>
      <c r="I19" s="72">
        <v>6</v>
      </c>
      <c r="J19" s="73"/>
      <c r="K19" s="74"/>
      <c r="M19" s="106" t="s">
        <v>52</v>
      </c>
      <c r="N19" s="107"/>
    </row>
    <row r="20" spans="2:14" ht="17.100000000000001" customHeight="1">
      <c r="M20" s="6" t="s">
        <v>32</v>
      </c>
      <c r="N20" s="6" t="s">
        <v>53</v>
      </c>
    </row>
    <row r="21" spans="2:14" ht="17.100000000000001" customHeight="1">
      <c r="M21" s="4" t="s">
        <v>108</v>
      </c>
      <c r="N21" s="4" t="s">
        <v>119</v>
      </c>
    </row>
    <row r="22" spans="2:14" ht="17.100000000000001" customHeight="1">
      <c r="M22" s="4" t="s">
        <v>107</v>
      </c>
      <c r="N22" s="4" t="s">
        <v>54</v>
      </c>
    </row>
    <row r="23" spans="2:14" ht="17.100000000000001" customHeight="1">
      <c r="M23" s="5" t="s">
        <v>106</v>
      </c>
      <c r="N23" s="5" t="s">
        <v>118</v>
      </c>
    </row>
  </sheetData>
  <mergeCells count="1">
    <mergeCell ref="M19:N19"/>
  </mergeCells>
  <pageMargins left="0.78740157499999996" right="0.78740157499999996" top="0.984251969" bottom="0.984251969" header="0.49212598499999999" footer="0.49212598499999999"/>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C05E1-11DB-4653-9C2E-6DFBFDAEC55F}">
  <sheetPr codeName="E9">
    <tabColor rgb="FF00B050"/>
  </sheetPr>
  <dimension ref="B6:P60"/>
  <sheetViews>
    <sheetView showGridLines="0" workbookViewId="0">
      <selection activeCell="N7" sqref="N7"/>
    </sheetView>
  </sheetViews>
  <sheetFormatPr defaultColWidth="12.6640625" defaultRowHeight="17.100000000000001" customHeight="1"/>
  <cols>
    <col min="1" max="1" width="5.6640625" style="1" customWidth="1"/>
    <col min="2" max="3" width="15.6640625" style="1" customWidth="1"/>
    <col min="4" max="4" width="15.6640625" style="2" customWidth="1"/>
    <col min="5" max="5" width="20.109375" style="1" bestFit="1" customWidth="1"/>
    <col min="6" max="6" width="5.6640625" style="1" customWidth="1"/>
    <col min="7" max="7" width="15.6640625" style="1" customWidth="1"/>
    <col min="8" max="8" width="21.109375" style="1" bestFit="1" customWidth="1"/>
    <col min="9" max="9" width="15.6640625" style="1" bestFit="1" customWidth="1"/>
    <col min="10" max="10" width="5.6640625" style="1" customWidth="1"/>
    <col min="11" max="16384" width="12.6640625" style="1"/>
  </cols>
  <sheetData>
    <row r="6" spans="2:12" ht="17.100000000000001" customHeight="1">
      <c r="D6" s="1"/>
    </row>
    <row r="7" spans="2:12" s="3" customFormat="1" ht="17.100000000000001" customHeight="1">
      <c r="B7" s="108" t="s">
        <v>104</v>
      </c>
      <c r="C7" s="108"/>
      <c r="D7" s="108"/>
      <c r="E7" s="108"/>
      <c r="F7" s="38"/>
      <c r="G7" s="108" t="s">
        <v>120</v>
      </c>
      <c r="H7" s="112"/>
      <c r="K7" s="110"/>
      <c r="L7" s="110"/>
    </row>
    <row r="8" spans="2:12" s="3" customFormat="1" ht="17.100000000000001" customHeight="1">
      <c r="B8" s="75" t="s">
        <v>82</v>
      </c>
      <c r="C8" s="75" t="s">
        <v>83</v>
      </c>
      <c r="D8" s="75" t="s">
        <v>84</v>
      </c>
      <c r="E8" s="75" t="s">
        <v>85</v>
      </c>
      <c r="G8" s="75" t="s">
        <v>105</v>
      </c>
      <c r="H8" s="80" t="s">
        <v>82</v>
      </c>
    </row>
    <row r="9" spans="2:12" s="3" customFormat="1" ht="17.100000000000001" customHeight="1">
      <c r="B9" s="76">
        <v>5045</v>
      </c>
      <c r="C9" s="77" t="s">
        <v>86</v>
      </c>
      <c r="D9" s="78"/>
      <c r="E9" s="79"/>
      <c r="G9" s="78">
        <v>0.05</v>
      </c>
      <c r="H9" s="79" t="s">
        <v>121</v>
      </c>
    </row>
    <row r="10" spans="2:12" s="3" customFormat="1" ht="17.100000000000001" customHeight="1">
      <c r="B10" s="76">
        <v>5125</v>
      </c>
      <c r="C10" s="77" t="s">
        <v>87</v>
      </c>
      <c r="D10" s="78"/>
      <c r="E10" s="79"/>
      <c r="G10" s="78">
        <v>0.1</v>
      </c>
      <c r="H10" s="79" t="s">
        <v>122</v>
      </c>
    </row>
    <row r="11" spans="2:12" ht="17.100000000000001" customHeight="1">
      <c r="B11" s="76">
        <v>10397</v>
      </c>
      <c r="C11" s="77" t="s">
        <v>88</v>
      </c>
      <c r="D11" s="78"/>
      <c r="E11" s="79"/>
      <c r="G11" s="78">
        <v>0.15</v>
      </c>
      <c r="H11" s="79" t="s">
        <v>123</v>
      </c>
    </row>
    <row r="12" spans="2:12" ht="17.100000000000001" customHeight="1">
      <c r="B12" s="76">
        <v>2386</v>
      </c>
      <c r="C12" s="77" t="s">
        <v>89</v>
      </c>
      <c r="D12" s="78"/>
      <c r="E12" s="79"/>
    </row>
    <row r="13" spans="2:12" ht="17.100000000000001" customHeight="1">
      <c r="B13" s="76">
        <v>4690</v>
      </c>
      <c r="C13" s="77" t="s">
        <v>90</v>
      </c>
      <c r="D13" s="78"/>
      <c r="E13" s="79"/>
    </row>
    <row r="14" spans="2:12" ht="17.100000000000001" customHeight="1">
      <c r="B14" s="76">
        <v>10834</v>
      </c>
      <c r="C14" s="77" t="s">
        <v>91</v>
      </c>
      <c r="D14" s="78"/>
      <c r="E14" s="79"/>
      <c r="I14"/>
    </row>
    <row r="15" spans="2:12" ht="17.100000000000001" customHeight="1">
      <c r="B15" s="76">
        <v>11580</v>
      </c>
      <c r="C15" s="77" t="s">
        <v>92</v>
      </c>
      <c r="D15" s="78"/>
      <c r="E15" s="79"/>
      <c r="G15" s="108" t="s">
        <v>127</v>
      </c>
      <c r="H15" s="112"/>
      <c r="I15"/>
    </row>
    <row r="16" spans="2:12" ht="17.100000000000001" customHeight="1">
      <c r="B16" s="76">
        <v>10213</v>
      </c>
      <c r="C16" s="77" t="s">
        <v>93</v>
      </c>
      <c r="D16" s="78"/>
      <c r="E16" s="79"/>
      <c r="G16" s="75" t="s">
        <v>101</v>
      </c>
      <c r="H16" s="75" t="s">
        <v>102</v>
      </c>
      <c r="I16"/>
    </row>
    <row r="17" spans="2:9" ht="17.100000000000001" customHeight="1">
      <c r="B17" s="76">
        <v>9731</v>
      </c>
      <c r="C17" s="77" t="s">
        <v>103</v>
      </c>
      <c r="D17" s="78"/>
      <c r="E17" s="79"/>
      <c r="G17" s="77">
        <v>1</v>
      </c>
      <c r="H17" s="79"/>
      <c r="I17"/>
    </row>
    <row r="18" spans="2:9" ht="17.100000000000001" customHeight="1">
      <c r="B18" s="76">
        <v>2118</v>
      </c>
      <c r="C18" s="77" t="s">
        <v>94</v>
      </c>
      <c r="D18" s="78"/>
      <c r="E18" s="79"/>
      <c r="G18" s="77">
        <v>2</v>
      </c>
      <c r="H18" s="79"/>
      <c r="I18"/>
    </row>
    <row r="19" spans="2:9" ht="17.100000000000001" customHeight="1">
      <c r="B19" s="76">
        <v>5518</v>
      </c>
      <c r="C19" s="77" t="s">
        <v>95</v>
      </c>
      <c r="D19" s="78"/>
      <c r="E19" s="79"/>
      <c r="G19" s="77">
        <v>3</v>
      </c>
      <c r="H19" s="79"/>
      <c r="I19"/>
    </row>
    <row r="20" spans="2:9" ht="17.100000000000001" customHeight="1">
      <c r="B20" s="76">
        <v>9996</v>
      </c>
      <c r="C20" s="77" t="s">
        <v>96</v>
      </c>
      <c r="D20" s="78"/>
      <c r="E20" s="79"/>
      <c r="G20" s="77">
        <v>4</v>
      </c>
      <c r="H20" s="79"/>
      <c r="I20"/>
    </row>
    <row r="21" spans="2:9" ht="17.100000000000001" customHeight="1">
      <c r="B21" s="76">
        <v>1394</v>
      </c>
      <c r="C21" s="77" t="s">
        <v>97</v>
      </c>
      <c r="D21" s="78"/>
      <c r="E21" s="79"/>
      <c r="G21" s="77">
        <v>5</v>
      </c>
      <c r="H21" s="79"/>
    </row>
    <row r="22" spans="2:9" ht="17.100000000000001" customHeight="1">
      <c r="B22" s="76">
        <v>9269</v>
      </c>
      <c r="C22" s="77" t="s">
        <v>98</v>
      </c>
      <c r="D22" s="78"/>
      <c r="E22" s="79"/>
      <c r="G22" s="39"/>
    </row>
    <row r="23" spans="2:9" ht="17.100000000000001" customHeight="1">
      <c r="B23" s="79">
        <v>12641</v>
      </c>
      <c r="C23" s="77" t="s">
        <v>99</v>
      </c>
      <c r="D23" s="78"/>
      <c r="E23" s="79"/>
      <c r="G23" s="39"/>
    </row>
    <row r="24" spans="2:9" ht="17.100000000000001" customHeight="1">
      <c r="B24" s="40"/>
      <c r="C24" s="40"/>
      <c r="D24" s="40"/>
      <c r="E24" s="41"/>
    </row>
    <row r="25" spans="2:9" ht="17.100000000000001" customHeight="1">
      <c r="B25" s="111" t="s">
        <v>100</v>
      </c>
      <c r="C25" s="111"/>
      <c r="D25" s="109">
        <f>SUM(E9:E23)</f>
        <v>0</v>
      </c>
      <c r="E25" s="109"/>
    </row>
    <row r="26" spans="2:9" ht="17.100000000000001" customHeight="1">
      <c r="B26" s="41"/>
      <c r="C26" s="41"/>
      <c r="D26" s="41"/>
      <c r="E26" s="41"/>
    </row>
    <row r="27" spans="2:9" ht="17.100000000000001" customHeight="1">
      <c r="E27" s="41"/>
    </row>
    <row r="28" spans="2:9" ht="17.100000000000001" customHeight="1">
      <c r="E28" s="41"/>
    </row>
    <row r="29" spans="2:9" ht="17.100000000000001" customHeight="1">
      <c r="E29" s="41"/>
    </row>
    <row r="30" spans="2:9" ht="17.100000000000001" customHeight="1">
      <c r="E30" s="41"/>
    </row>
    <row r="31" spans="2:9" ht="17.100000000000001" customHeight="1">
      <c r="E31" s="41"/>
      <c r="G31" s="39"/>
    </row>
    <row r="32" spans="2:9" ht="17.100000000000001" customHeight="1">
      <c r="E32" s="41"/>
      <c r="G32" s="39"/>
    </row>
    <row r="33" spans="4:7" ht="17.100000000000001" customHeight="1">
      <c r="E33" s="41"/>
      <c r="G33" s="39"/>
    </row>
    <row r="34" spans="4:7" ht="17.100000000000001" customHeight="1">
      <c r="G34" s="39"/>
    </row>
    <row r="35" spans="4:7" ht="17.100000000000001" customHeight="1">
      <c r="D35" s="1"/>
      <c r="G35" s="39"/>
    </row>
    <row r="36" spans="4:7" ht="17.100000000000001" customHeight="1">
      <c r="D36" s="1"/>
      <c r="G36" s="39"/>
    </row>
    <row r="37" spans="4:7" ht="17.100000000000001" customHeight="1">
      <c r="D37" s="1"/>
      <c r="G37" s="39"/>
    </row>
    <row r="38" spans="4:7" ht="17.100000000000001" customHeight="1">
      <c r="D38" s="1"/>
      <c r="G38" s="39"/>
    </row>
    <row r="39" spans="4:7" ht="17.100000000000001" customHeight="1">
      <c r="D39" s="1"/>
      <c r="G39" s="39"/>
    </row>
    <row r="40" spans="4:7" ht="17.100000000000001" customHeight="1">
      <c r="D40" s="1"/>
      <c r="G40" s="39"/>
    </row>
    <row r="41" spans="4:7" ht="17.100000000000001" customHeight="1">
      <c r="D41" s="1"/>
      <c r="G41" s="39"/>
    </row>
    <row r="42" spans="4:7" ht="17.100000000000001" customHeight="1">
      <c r="D42" s="1"/>
      <c r="G42" s="39"/>
    </row>
    <row r="43" spans="4:7" ht="17.100000000000001" customHeight="1">
      <c r="D43" s="1"/>
      <c r="G43" s="39"/>
    </row>
    <row r="44" spans="4:7" ht="17.100000000000001" customHeight="1">
      <c r="D44" s="1"/>
      <c r="G44" s="39"/>
    </row>
    <row r="45" spans="4:7" ht="17.100000000000001" customHeight="1">
      <c r="D45" s="1"/>
      <c r="G45" s="39"/>
    </row>
    <row r="46" spans="4:7" ht="17.100000000000001" customHeight="1">
      <c r="D46" s="1"/>
      <c r="G46" s="39"/>
    </row>
    <row r="47" spans="4:7" ht="17.100000000000001" customHeight="1">
      <c r="D47" s="1"/>
      <c r="G47" s="39"/>
    </row>
    <row r="48" spans="4:7" ht="17.100000000000001" customHeight="1">
      <c r="D48" s="1"/>
      <c r="G48" s="39"/>
    </row>
    <row r="49" spans="4:16" ht="17.100000000000001" customHeight="1">
      <c r="D49" s="1"/>
      <c r="G49" s="39"/>
    </row>
    <row r="50" spans="4:16" ht="17.100000000000001" customHeight="1">
      <c r="D50" s="1"/>
      <c r="G50" s="39"/>
    </row>
    <row r="51" spans="4:16" ht="17.100000000000001" customHeight="1">
      <c r="D51" s="1"/>
      <c r="G51" s="39"/>
    </row>
    <row r="52" spans="4:16" ht="17.100000000000001" customHeight="1">
      <c r="D52" s="1"/>
      <c r="G52" s="39"/>
    </row>
    <row r="53" spans="4:16" ht="17.100000000000001" customHeight="1">
      <c r="D53" s="1"/>
      <c r="G53" s="39"/>
    </row>
    <row r="54" spans="4:16" ht="17.100000000000001" customHeight="1">
      <c r="D54" s="1"/>
      <c r="G54" s="39"/>
    </row>
    <row r="55" spans="4:16" ht="17.100000000000001" customHeight="1">
      <c r="D55" s="1"/>
      <c r="G55" s="39"/>
    </row>
    <row r="56" spans="4:16" ht="17.100000000000001" customHeight="1">
      <c r="D56" s="1"/>
      <c r="G56" s="39"/>
    </row>
    <row r="57" spans="4:16" ht="17.100000000000001" customHeight="1">
      <c r="D57" s="1"/>
      <c r="G57" s="39"/>
    </row>
    <row r="58" spans="4:16" ht="17.100000000000001" customHeight="1">
      <c r="D58" s="1"/>
      <c r="G58" s="39"/>
    </row>
    <row r="59" spans="4:16" ht="17.100000000000001" customHeight="1">
      <c r="D59" s="1"/>
      <c r="G59" s="39"/>
    </row>
    <row r="60" spans="4:16" ht="17.100000000000001" customHeight="1">
      <c r="P60" s="39"/>
    </row>
  </sheetData>
  <mergeCells count="6">
    <mergeCell ref="B7:E7"/>
    <mergeCell ref="D25:E25"/>
    <mergeCell ref="K7:L7"/>
    <mergeCell ref="B25:C25"/>
    <mergeCell ref="G7:H7"/>
    <mergeCell ref="G15:H15"/>
  </mergeCells>
  <pageMargins left="0.78740157499999996" right="0.78740157499999996" top="0.984251969" bottom="0.984251969" header="0.49212598499999999" footer="0.49212598499999999"/>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47BF0-5E64-488B-9F78-878D050F144A}">
  <sheetPr codeName="E6">
    <tabColor rgb="FF00B050"/>
  </sheetPr>
  <dimension ref="B6:P60"/>
  <sheetViews>
    <sheetView showGridLines="0" workbookViewId="0">
      <selection activeCell="H21" sqref="H21"/>
    </sheetView>
  </sheetViews>
  <sheetFormatPr defaultColWidth="12.6640625" defaultRowHeight="17.100000000000001" customHeight="1"/>
  <cols>
    <col min="1" max="1" width="5.6640625" style="10" customWidth="1"/>
    <col min="2" max="2" width="10.109375" style="10" bestFit="1" customWidth="1"/>
    <col min="3" max="4" width="15.5546875" style="10" customWidth="1"/>
    <col min="5" max="5" width="15.5546875" style="12" customWidth="1"/>
    <col min="6" max="6" width="15.5546875" style="10" customWidth="1"/>
    <col min="7" max="7" width="5.6640625" style="10" customWidth="1"/>
    <col min="8" max="8" width="21.88671875" style="10" bestFit="1" customWidth="1"/>
    <col min="9" max="9" width="15.6640625" style="10" customWidth="1"/>
    <col min="10" max="10" width="5.6640625" style="10" customWidth="1"/>
    <col min="11" max="16384" width="12.6640625" style="10"/>
  </cols>
  <sheetData>
    <row r="6" spans="2:16" ht="17.100000000000001" customHeight="1">
      <c r="E6" s="10"/>
    </row>
    <row r="7" spans="2:16" s="11" customFormat="1" ht="17.100000000000001" customHeight="1" thickBot="1">
      <c r="B7" s="113" t="s">
        <v>109</v>
      </c>
      <c r="C7" s="113"/>
      <c r="D7" s="113"/>
      <c r="E7" s="113"/>
      <c r="F7" s="113"/>
      <c r="G7" s="14"/>
      <c r="H7" s="14"/>
      <c r="K7" s="114"/>
      <c r="L7" s="114"/>
    </row>
    <row r="8" spans="2:16" s="11" customFormat="1" ht="17.100000000000001" customHeight="1" thickBot="1">
      <c r="B8" s="53" t="s">
        <v>2</v>
      </c>
      <c r="C8" s="53" t="s">
        <v>110</v>
      </c>
      <c r="D8" s="53" t="s">
        <v>25</v>
      </c>
      <c r="E8" s="53" t="s">
        <v>128</v>
      </c>
      <c r="F8" s="53" t="s">
        <v>70</v>
      </c>
      <c r="G8" s="15"/>
      <c r="H8" s="115" t="s">
        <v>129</v>
      </c>
      <c r="I8" s="116"/>
      <c r="K8" s="13"/>
      <c r="L8" s="13"/>
    </row>
    <row r="9" spans="2:16" s="11" customFormat="1" ht="17.100000000000001" customHeight="1" thickBot="1">
      <c r="B9" s="82">
        <v>43467</v>
      </c>
      <c r="C9" s="54" t="s">
        <v>21</v>
      </c>
      <c r="D9" s="54">
        <v>112</v>
      </c>
      <c r="E9" s="83">
        <v>14</v>
      </c>
      <c r="F9" s="83">
        <f>D9*E9</f>
        <v>1568</v>
      </c>
      <c r="G9" s="15"/>
      <c r="H9" s="84" t="s">
        <v>30</v>
      </c>
      <c r="I9" s="85" t="s">
        <v>21</v>
      </c>
    </row>
    <row r="10" spans="2:16" s="11" customFormat="1" ht="17.100000000000001" customHeight="1" thickBot="1">
      <c r="B10" s="82">
        <v>43468</v>
      </c>
      <c r="C10" s="54" t="s">
        <v>21</v>
      </c>
      <c r="D10" s="54">
        <v>196</v>
      </c>
      <c r="E10" s="83">
        <v>22</v>
      </c>
      <c r="F10" s="83">
        <f t="shared" ref="F10:F59" si="0">D10*E10</f>
        <v>4312</v>
      </c>
      <c r="G10" s="15"/>
      <c r="H10" s="81" t="s">
        <v>81</v>
      </c>
      <c r="I10" s="83"/>
    </row>
    <row r="11" spans="2:16" ht="17.100000000000001" customHeight="1" thickBot="1">
      <c r="B11" s="82">
        <v>43469</v>
      </c>
      <c r="C11" s="54" t="s">
        <v>22</v>
      </c>
      <c r="D11" s="54">
        <v>275</v>
      </c>
      <c r="E11" s="83">
        <v>18</v>
      </c>
      <c r="F11" s="83">
        <f t="shared" si="0"/>
        <v>4950</v>
      </c>
      <c r="G11" s="15"/>
      <c r="H11" s="81" t="s">
        <v>28</v>
      </c>
      <c r="I11" s="86"/>
      <c r="K11" s="17"/>
      <c r="L11" s="17"/>
    </row>
    <row r="12" spans="2:16" ht="17.100000000000001" customHeight="1" thickBot="1">
      <c r="B12" s="82">
        <v>43470</v>
      </c>
      <c r="C12" s="54" t="s">
        <v>21</v>
      </c>
      <c r="D12" s="54">
        <v>341</v>
      </c>
      <c r="E12" s="83">
        <v>16</v>
      </c>
      <c r="F12" s="83">
        <f t="shared" si="0"/>
        <v>5456</v>
      </c>
      <c r="G12" s="15"/>
      <c r="H12" s="81" t="s">
        <v>27</v>
      </c>
      <c r="I12" s="83"/>
    </row>
    <row r="13" spans="2:16" ht="17.100000000000001" customHeight="1" thickBot="1">
      <c r="B13" s="82">
        <v>43471</v>
      </c>
      <c r="C13" s="54" t="s">
        <v>22</v>
      </c>
      <c r="D13" s="54">
        <v>12</v>
      </c>
      <c r="E13" s="83">
        <v>23</v>
      </c>
      <c r="F13" s="83">
        <f t="shared" si="0"/>
        <v>276</v>
      </c>
      <c r="G13" s="15"/>
      <c r="H13" s="20"/>
      <c r="I13" s="21"/>
    </row>
    <row r="14" spans="2:16" ht="17.100000000000001" customHeight="1" thickBot="1">
      <c r="B14" s="82">
        <v>43472</v>
      </c>
      <c r="C14" s="54" t="s">
        <v>23</v>
      </c>
      <c r="D14" s="54">
        <v>269</v>
      </c>
      <c r="E14" s="83">
        <v>15</v>
      </c>
      <c r="F14" s="83">
        <f t="shared" si="0"/>
        <v>4035</v>
      </c>
      <c r="G14" s="15"/>
      <c r="H14" s="22" t="s">
        <v>26</v>
      </c>
      <c r="I14" s="18"/>
      <c r="P14"/>
    </row>
    <row r="15" spans="2:16" ht="17.100000000000001" customHeight="1" thickBot="1">
      <c r="B15" s="82">
        <v>43473</v>
      </c>
      <c r="C15" s="54" t="s">
        <v>24</v>
      </c>
      <c r="D15" s="54">
        <v>58</v>
      </c>
      <c r="E15" s="83">
        <v>19</v>
      </c>
      <c r="F15" s="83">
        <f t="shared" si="0"/>
        <v>1102</v>
      </c>
      <c r="G15" s="15"/>
      <c r="H15" s="19"/>
      <c r="I15" s="11"/>
      <c r="P15"/>
    </row>
    <row r="16" spans="2:16" ht="17.100000000000001" customHeight="1" thickBot="1">
      <c r="B16" s="82">
        <v>43474</v>
      </c>
      <c r="C16" s="54" t="s">
        <v>21</v>
      </c>
      <c r="D16" s="54">
        <v>41</v>
      </c>
      <c r="E16" s="83">
        <v>20</v>
      </c>
      <c r="F16" s="83">
        <f t="shared" si="0"/>
        <v>820</v>
      </c>
      <c r="G16" s="15"/>
      <c r="H16" s="19"/>
      <c r="I16" s="11"/>
      <c r="P16"/>
    </row>
    <row r="17" spans="2:16" ht="17.100000000000001" customHeight="1" thickBot="1">
      <c r="B17" s="82">
        <v>43475</v>
      </c>
      <c r="C17" s="54" t="s">
        <v>22</v>
      </c>
      <c r="D17" s="54">
        <v>309</v>
      </c>
      <c r="E17" s="83">
        <v>21</v>
      </c>
      <c r="F17" s="83">
        <f t="shared" si="0"/>
        <v>6489</v>
      </c>
      <c r="G17" s="15"/>
      <c r="H17" s="19"/>
      <c r="I17" s="11"/>
      <c r="P17"/>
    </row>
    <row r="18" spans="2:16" ht="17.100000000000001" customHeight="1" thickBot="1">
      <c r="B18" s="82">
        <v>43476</v>
      </c>
      <c r="C18" s="54" t="s">
        <v>23</v>
      </c>
      <c r="D18" s="54">
        <v>136</v>
      </c>
      <c r="E18" s="83">
        <v>13</v>
      </c>
      <c r="F18" s="83">
        <f t="shared" si="0"/>
        <v>1768</v>
      </c>
      <c r="G18" s="15"/>
      <c r="H18" s="19"/>
      <c r="I18" s="11"/>
      <c r="P18"/>
    </row>
    <row r="19" spans="2:16" ht="17.100000000000001" customHeight="1" thickBot="1">
      <c r="B19" s="82">
        <v>43477</v>
      </c>
      <c r="C19" s="54" t="s">
        <v>23</v>
      </c>
      <c r="D19" s="54">
        <v>230</v>
      </c>
      <c r="E19" s="83">
        <v>12</v>
      </c>
      <c r="F19" s="83">
        <f t="shared" si="0"/>
        <v>2760</v>
      </c>
      <c r="G19" s="15"/>
      <c r="H19" s="15"/>
      <c r="I19" s="11"/>
      <c r="P19"/>
    </row>
    <row r="20" spans="2:16" ht="17.100000000000001" customHeight="1" thickBot="1">
      <c r="B20" s="82">
        <v>43478</v>
      </c>
      <c r="C20" s="54" t="s">
        <v>21</v>
      </c>
      <c r="D20" s="54">
        <v>272</v>
      </c>
      <c r="E20" s="83">
        <v>16</v>
      </c>
      <c r="F20" s="83">
        <f t="shared" si="0"/>
        <v>4352</v>
      </c>
      <c r="G20" s="15"/>
      <c r="H20" s="15"/>
      <c r="I20" s="11"/>
      <c r="P20"/>
    </row>
    <row r="21" spans="2:16" ht="17.100000000000001" customHeight="1" thickBot="1">
      <c r="B21" s="82">
        <v>43479</v>
      </c>
      <c r="C21" s="54" t="s">
        <v>22</v>
      </c>
      <c r="D21" s="54">
        <v>28</v>
      </c>
      <c r="E21" s="83">
        <v>11</v>
      </c>
      <c r="F21" s="83">
        <f t="shared" si="0"/>
        <v>308</v>
      </c>
      <c r="G21" s="15"/>
      <c r="H21" s="15"/>
      <c r="I21" s="11"/>
      <c r="P21"/>
    </row>
    <row r="22" spans="2:16" ht="17.100000000000001" customHeight="1" thickBot="1">
      <c r="B22" s="82">
        <v>43480</v>
      </c>
      <c r="C22" s="54" t="s">
        <v>23</v>
      </c>
      <c r="D22" s="54">
        <v>97</v>
      </c>
      <c r="E22" s="83">
        <v>14</v>
      </c>
      <c r="F22" s="83">
        <f t="shared" si="0"/>
        <v>1358</v>
      </c>
      <c r="G22" s="15"/>
      <c r="H22" s="15"/>
      <c r="I22" s="11"/>
      <c r="P22"/>
    </row>
    <row r="23" spans="2:16" ht="17.100000000000001" customHeight="1" thickBot="1">
      <c r="B23" s="82">
        <v>43481</v>
      </c>
      <c r="C23" s="54" t="s">
        <v>21</v>
      </c>
      <c r="D23" s="54">
        <v>268</v>
      </c>
      <c r="E23" s="83">
        <v>15</v>
      </c>
      <c r="F23" s="83">
        <f t="shared" si="0"/>
        <v>4020</v>
      </c>
      <c r="G23" s="15"/>
      <c r="H23" s="15"/>
      <c r="I23" s="11"/>
      <c r="P23"/>
    </row>
    <row r="24" spans="2:16" ht="17.100000000000001" customHeight="1" thickBot="1">
      <c r="B24" s="82">
        <v>43482</v>
      </c>
      <c r="C24" s="54" t="s">
        <v>21</v>
      </c>
      <c r="D24" s="54">
        <v>264</v>
      </c>
      <c r="E24" s="83">
        <v>11</v>
      </c>
      <c r="F24" s="83">
        <f t="shared" si="0"/>
        <v>2904</v>
      </c>
      <c r="G24" s="15"/>
      <c r="H24" s="15"/>
      <c r="I24" s="11"/>
      <c r="P24"/>
    </row>
    <row r="25" spans="2:16" ht="17.100000000000001" customHeight="1" thickBot="1">
      <c r="B25" s="82">
        <v>43483</v>
      </c>
      <c r="C25" s="54" t="s">
        <v>22</v>
      </c>
      <c r="D25" s="54">
        <v>315</v>
      </c>
      <c r="E25" s="83">
        <v>11</v>
      </c>
      <c r="F25" s="83">
        <f t="shared" si="0"/>
        <v>3465</v>
      </c>
      <c r="G25" s="15"/>
      <c r="H25" s="15"/>
      <c r="I25" s="11"/>
      <c r="P25"/>
    </row>
    <row r="26" spans="2:16" ht="17.100000000000001" customHeight="1" thickBot="1">
      <c r="B26" s="82">
        <v>43484</v>
      </c>
      <c r="C26" s="54" t="s">
        <v>21</v>
      </c>
      <c r="D26" s="54">
        <v>284</v>
      </c>
      <c r="E26" s="83">
        <v>21</v>
      </c>
      <c r="F26" s="83">
        <f t="shared" si="0"/>
        <v>5964</v>
      </c>
      <c r="G26" s="15"/>
      <c r="H26" s="15"/>
      <c r="I26" s="11"/>
      <c r="P26"/>
    </row>
    <row r="27" spans="2:16" ht="17.100000000000001" customHeight="1" thickBot="1">
      <c r="B27" s="82">
        <v>43485</v>
      </c>
      <c r="C27" s="54" t="s">
        <v>22</v>
      </c>
      <c r="D27" s="54">
        <v>142</v>
      </c>
      <c r="E27" s="83">
        <v>22</v>
      </c>
      <c r="F27" s="83">
        <f t="shared" si="0"/>
        <v>3124</v>
      </c>
      <c r="G27" s="15"/>
      <c r="H27" s="15"/>
      <c r="I27" s="11"/>
      <c r="P27"/>
    </row>
    <row r="28" spans="2:16" ht="17.100000000000001" customHeight="1" thickBot="1">
      <c r="B28" s="82">
        <v>43486</v>
      </c>
      <c r="C28" s="54" t="s">
        <v>23</v>
      </c>
      <c r="D28" s="54">
        <v>378</v>
      </c>
      <c r="E28" s="83">
        <v>23</v>
      </c>
      <c r="F28" s="83">
        <f t="shared" si="0"/>
        <v>8694</v>
      </c>
      <c r="G28" s="15"/>
      <c r="H28" s="15"/>
      <c r="I28" s="11"/>
      <c r="P28"/>
    </row>
    <row r="29" spans="2:16" ht="17.100000000000001" customHeight="1" thickBot="1">
      <c r="B29" s="82">
        <v>43487</v>
      </c>
      <c r="C29" s="54" t="s">
        <v>24</v>
      </c>
      <c r="D29" s="54">
        <v>338</v>
      </c>
      <c r="E29" s="83">
        <v>23</v>
      </c>
      <c r="F29" s="83">
        <f t="shared" si="0"/>
        <v>7774</v>
      </c>
      <c r="G29" s="15"/>
      <c r="H29" s="15"/>
      <c r="I29" s="11"/>
      <c r="P29"/>
    </row>
    <row r="30" spans="2:16" ht="17.100000000000001" customHeight="1" thickBot="1">
      <c r="B30" s="82">
        <v>43488</v>
      </c>
      <c r="C30" s="54" t="s">
        <v>21</v>
      </c>
      <c r="D30" s="54">
        <v>48</v>
      </c>
      <c r="E30" s="83">
        <v>13</v>
      </c>
      <c r="F30" s="83">
        <f t="shared" si="0"/>
        <v>624</v>
      </c>
      <c r="G30" s="15"/>
      <c r="H30" s="15"/>
      <c r="I30" s="11"/>
      <c r="P30"/>
    </row>
    <row r="31" spans="2:16" ht="17.100000000000001" customHeight="1" thickBot="1">
      <c r="B31" s="82">
        <v>43489</v>
      </c>
      <c r="C31" s="54" t="s">
        <v>22</v>
      </c>
      <c r="D31" s="54">
        <v>218</v>
      </c>
      <c r="E31" s="83">
        <v>11</v>
      </c>
      <c r="F31" s="83">
        <f t="shared" si="0"/>
        <v>2398</v>
      </c>
      <c r="G31" s="15"/>
      <c r="H31" s="15"/>
      <c r="I31" s="11"/>
      <c r="P31"/>
    </row>
    <row r="32" spans="2:16" ht="17.100000000000001" customHeight="1" thickBot="1">
      <c r="B32" s="82">
        <v>43490</v>
      </c>
      <c r="C32" s="54" t="s">
        <v>23</v>
      </c>
      <c r="D32" s="54">
        <v>243</v>
      </c>
      <c r="E32" s="83">
        <v>17</v>
      </c>
      <c r="F32" s="83">
        <f t="shared" si="0"/>
        <v>4131</v>
      </c>
      <c r="P32"/>
    </row>
    <row r="33" spans="2:16" ht="17.100000000000001" customHeight="1" thickBot="1">
      <c r="B33" s="82">
        <v>43491</v>
      </c>
      <c r="C33" s="54" t="s">
        <v>23</v>
      </c>
      <c r="D33" s="54">
        <v>211</v>
      </c>
      <c r="E33" s="83">
        <v>19</v>
      </c>
      <c r="F33" s="83">
        <f t="shared" si="0"/>
        <v>4009</v>
      </c>
      <c r="P33"/>
    </row>
    <row r="34" spans="2:16" ht="17.100000000000001" customHeight="1" thickBot="1">
      <c r="B34" s="82">
        <v>43492</v>
      </c>
      <c r="C34" s="54" t="s">
        <v>21</v>
      </c>
      <c r="D34" s="54">
        <v>372</v>
      </c>
      <c r="E34" s="83">
        <v>11</v>
      </c>
      <c r="F34" s="83">
        <f t="shared" si="0"/>
        <v>4092</v>
      </c>
      <c r="P34"/>
    </row>
    <row r="35" spans="2:16" ht="17.100000000000001" customHeight="1" thickBot="1">
      <c r="B35" s="82">
        <v>43493</v>
      </c>
      <c r="C35" s="54" t="s">
        <v>22</v>
      </c>
      <c r="D35" s="54">
        <v>316</v>
      </c>
      <c r="E35" s="83">
        <v>10</v>
      </c>
      <c r="F35" s="83">
        <f t="shared" si="0"/>
        <v>3160</v>
      </c>
      <c r="P35"/>
    </row>
    <row r="36" spans="2:16" ht="17.100000000000001" customHeight="1" thickBot="1">
      <c r="B36" s="82">
        <v>43494</v>
      </c>
      <c r="C36" s="54" t="s">
        <v>23</v>
      </c>
      <c r="D36" s="54">
        <v>294</v>
      </c>
      <c r="E36" s="83">
        <v>23</v>
      </c>
      <c r="F36" s="83">
        <f t="shared" si="0"/>
        <v>6762</v>
      </c>
      <c r="P36"/>
    </row>
    <row r="37" spans="2:16" ht="17.100000000000001" customHeight="1" thickBot="1">
      <c r="B37" s="82">
        <v>43495</v>
      </c>
      <c r="C37" s="54" t="s">
        <v>21</v>
      </c>
      <c r="D37" s="54">
        <v>336</v>
      </c>
      <c r="E37" s="83">
        <v>11</v>
      </c>
      <c r="F37" s="83">
        <f t="shared" si="0"/>
        <v>3696</v>
      </c>
      <c r="P37"/>
    </row>
    <row r="38" spans="2:16" ht="17.100000000000001" customHeight="1" thickBot="1">
      <c r="B38" s="82">
        <v>43496</v>
      </c>
      <c r="C38" s="54" t="s">
        <v>21</v>
      </c>
      <c r="D38" s="54">
        <v>39</v>
      </c>
      <c r="E38" s="83">
        <v>21</v>
      </c>
      <c r="F38" s="83">
        <f t="shared" si="0"/>
        <v>819</v>
      </c>
      <c r="P38"/>
    </row>
    <row r="39" spans="2:16" ht="17.100000000000001" customHeight="1" thickBot="1">
      <c r="B39" s="82">
        <v>43497</v>
      </c>
      <c r="C39" s="54" t="s">
        <v>22</v>
      </c>
      <c r="D39" s="54">
        <v>169</v>
      </c>
      <c r="E39" s="83">
        <v>13</v>
      </c>
      <c r="F39" s="83">
        <f t="shared" si="0"/>
        <v>2197</v>
      </c>
      <c r="P39"/>
    </row>
    <row r="40" spans="2:16" ht="17.100000000000001" customHeight="1" thickBot="1">
      <c r="B40" s="82">
        <v>43498</v>
      </c>
      <c r="C40" s="54" t="s">
        <v>21</v>
      </c>
      <c r="D40" s="54">
        <v>86</v>
      </c>
      <c r="E40" s="83">
        <v>13</v>
      </c>
      <c r="F40" s="83">
        <f t="shared" si="0"/>
        <v>1118</v>
      </c>
      <c r="P40"/>
    </row>
    <row r="41" spans="2:16" ht="17.100000000000001" customHeight="1" thickBot="1">
      <c r="B41" s="82">
        <v>43499</v>
      </c>
      <c r="C41" s="54" t="s">
        <v>22</v>
      </c>
      <c r="D41" s="54">
        <v>311</v>
      </c>
      <c r="E41" s="83">
        <v>11</v>
      </c>
      <c r="F41" s="83">
        <f t="shared" si="0"/>
        <v>3421</v>
      </c>
      <c r="P41"/>
    </row>
    <row r="42" spans="2:16" ht="17.100000000000001" customHeight="1" thickBot="1">
      <c r="B42" s="82">
        <v>43500</v>
      </c>
      <c r="C42" s="54" t="s">
        <v>23</v>
      </c>
      <c r="D42" s="54">
        <v>399</v>
      </c>
      <c r="E42" s="83">
        <v>14</v>
      </c>
      <c r="F42" s="83">
        <f t="shared" si="0"/>
        <v>5586</v>
      </c>
      <c r="P42"/>
    </row>
    <row r="43" spans="2:16" ht="17.100000000000001" customHeight="1" thickBot="1">
      <c r="B43" s="82">
        <v>43501</v>
      </c>
      <c r="C43" s="54" t="s">
        <v>24</v>
      </c>
      <c r="D43" s="54">
        <v>54</v>
      </c>
      <c r="E43" s="83">
        <v>13</v>
      </c>
      <c r="F43" s="83">
        <f t="shared" si="0"/>
        <v>702</v>
      </c>
      <c r="P43"/>
    </row>
    <row r="44" spans="2:16" ht="17.100000000000001" customHeight="1" thickBot="1">
      <c r="B44" s="82">
        <v>43502</v>
      </c>
      <c r="C44" s="54" t="s">
        <v>21</v>
      </c>
      <c r="D44" s="54">
        <v>221</v>
      </c>
      <c r="E44" s="83">
        <v>20</v>
      </c>
      <c r="F44" s="83">
        <f t="shared" si="0"/>
        <v>4420</v>
      </c>
      <c r="P44"/>
    </row>
    <row r="45" spans="2:16" ht="17.100000000000001" customHeight="1" thickBot="1">
      <c r="B45" s="82">
        <v>43503</v>
      </c>
      <c r="C45" s="54" t="s">
        <v>22</v>
      </c>
      <c r="D45" s="54">
        <v>393</v>
      </c>
      <c r="E45" s="83">
        <v>22</v>
      </c>
      <c r="F45" s="83">
        <f t="shared" si="0"/>
        <v>8646</v>
      </c>
      <c r="P45"/>
    </row>
    <row r="46" spans="2:16" ht="17.100000000000001" customHeight="1" thickBot="1">
      <c r="B46" s="82">
        <v>43504</v>
      </c>
      <c r="C46" s="54" t="s">
        <v>23</v>
      </c>
      <c r="D46" s="54">
        <v>245</v>
      </c>
      <c r="E46" s="83">
        <v>20</v>
      </c>
      <c r="F46" s="83">
        <f t="shared" si="0"/>
        <v>4900</v>
      </c>
      <c r="P46"/>
    </row>
    <row r="47" spans="2:16" ht="17.100000000000001" customHeight="1" thickBot="1">
      <c r="B47" s="82">
        <v>43505</v>
      </c>
      <c r="C47" s="54" t="s">
        <v>23</v>
      </c>
      <c r="D47" s="54">
        <v>113</v>
      </c>
      <c r="E47" s="83">
        <v>20</v>
      </c>
      <c r="F47" s="83">
        <f t="shared" si="0"/>
        <v>2260</v>
      </c>
      <c r="P47"/>
    </row>
    <row r="48" spans="2:16" ht="17.100000000000001" customHeight="1" thickBot="1">
      <c r="B48" s="82">
        <v>43506</v>
      </c>
      <c r="C48" s="54" t="s">
        <v>21</v>
      </c>
      <c r="D48" s="54">
        <v>22</v>
      </c>
      <c r="E48" s="83">
        <v>15</v>
      </c>
      <c r="F48" s="83">
        <f t="shared" si="0"/>
        <v>330</v>
      </c>
      <c r="P48"/>
    </row>
    <row r="49" spans="2:16" ht="17.100000000000001" customHeight="1" thickBot="1">
      <c r="B49" s="82">
        <v>43507</v>
      </c>
      <c r="C49" s="54" t="s">
        <v>22</v>
      </c>
      <c r="D49" s="54">
        <v>119</v>
      </c>
      <c r="E49" s="83">
        <v>16</v>
      </c>
      <c r="F49" s="83">
        <f t="shared" si="0"/>
        <v>1904</v>
      </c>
      <c r="P49"/>
    </row>
    <row r="50" spans="2:16" ht="17.100000000000001" customHeight="1" thickBot="1">
      <c r="B50" s="82">
        <v>43508</v>
      </c>
      <c r="C50" s="54" t="s">
        <v>23</v>
      </c>
      <c r="D50" s="54">
        <v>10</v>
      </c>
      <c r="E50" s="83">
        <v>21</v>
      </c>
      <c r="F50" s="83">
        <f t="shared" si="0"/>
        <v>210</v>
      </c>
      <c r="P50"/>
    </row>
    <row r="51" spans="2:16" ht="17.100000000000001" customHeight="1" thickBot="1">
      <c r="B51" s="82">
        <v>43509</v>
      </c>
      <c r="C51" s="54" t="s">
        <v>21</v>
      </c>
      <c r="D51" s="54">
        <v>214</v>
      </c>
      <c r="E51" s="83">
        <v>12</v>
      </c>
      <c r="F51" s="83">
        <f t="shared" si="0"/>
        <v>2568</v>
      </c>
      <c r="P51"/>
    </row>
    <row r="52" spans="2:16" ht="17.100000000000001" customHeight="1" thickBot="1">
      <c r="B52" s="82">
        <v>43510</v>
      </c>
      <c r="C52" s="54" t="s">
        <v>21</v>
      </c>
      <c r="D52" s="54">
        <v>85</v>
      </c>
      <c r="E52" s="83">
        <v>13</v>
      </c>
      <c r="F52" s="83">
        <f t="shared" si="0"/>
        <v>1105</v>
      </c>
      <c r="P52"/>
    </row>
    <row r="53" spans="2:16" ht="17.100000000000001" customHeight="1" thickBot="1">
      <c r="B53" s="82">
        <v>43511</v>
      </c>
      <c r="C53" s="54" t="s">
        <v>22</v>
      </c>
      <c r="D53" s="54">
        <v>358</v>
      </c>
      <c r="E53" s="83">
        <v>14</v>
      </c>
      <c r="F53" s="83">
        <f t="shared" si="0"/>
        <v>5012</v>
      </c>
      <c r="P53"/>
    </row>
    <row r="54" spans="2:16" ht="17.100000000000001" customHeight="1" thickBot="1">
      <c r="B54" s="82">
        <v>43512</v>
      </c>
      <c r="C54" s="54" t="s">
        <v>21</v>
      </c>
      <c r="D54" s="54">
        <v>279</v>
      </c>
      <c r="E54" s="83">
        <v>21</v>
      </c>
      <c r="F54" s="83">
        <f t="shared" si="0"/>
        <v>5859</v>
      </c>
      <c r="P54"/>
    </row>
    <row r="55" spans="2:16" ht="17.100000000000001" customHeight="1" thickBot="1">
      <c r="B55" s="82">
        <v>43513</v>
      </c>
      <c r="C55" s="54" t="s">
        <v>22</v>
      </c>
      <c r="D55" s="54">
        <v>383</v>
      </c>
      <c r="E55" s="83">
        <v>20</v>
      </c>
      <c r="F55" s="83">
        <f t="shared" si="0"/>
        <v>7660</v>
      </c>
      <c r="P55"/>
    </row>
    <row r="56" spans="2:16" ht="17.100000000000001" customHeight="1" thickBot="1">
      <c r="B56" s="82">
        <v>43514</v>
      </c>
      <c r="C56" s="54" t="s">
        <v>23</v>
      </c>
      <c r="D56" s="54">
        <v>395</v>
      </c>
      <c r="E56" s="83">
        <v>13</v>
      </c>
      <c r="F56" s="83">
        <f t="shared" si="0"/>
        <v>5135</v>
      </c>
      <c r="P56"/>
    </row>
    <row r="57" spans="2:16" ht="17.100000000000001" customHeight="1" thickBot="1">
      <c r="B57" s="82">
        <v>43515</v>
      </c>
      <c r="C57" s="54" t="s">
        <v>24</v>
      </c>
      <c r="D57" s="54">
        <v>116</v>
      </c>
      <c r="E57" s="83">
        <v>11</v>
      </c>
      <c r="F57" s="83">
        <f t="shared" si="0"/>
        <v>1276</v>
      </c>
      <c r="P57"/>
    </row>
    <row r="58" spans="2:16" ht="17.100000000000001" customHeight="1" thickBot="1">
      <c r="B58" s="82">
        <v>43516</v>
      </c>
      <c r="C58" s="54" t="s">
        <v>21</v>
      </c>
      <c r="D58" s="54">
        <v>162</v>
      </c>
      <c r="E58" s="83">
        <v>17</v>
      </c>
      <c r="F58" s="83">
        <f t="shared" si="0"/>
        <v>2754</v>
      </c>
      <c r="P58"/>
    </row>
    <row r="59" spans="2:16" ht="17.100000000000001" customHeight="1" thickBot="1">
      <c r="B59" s="82">
        <v>43517</v>
      </c>
      <c r="C59" s="54" t="s">
        <v>22</v>
      </c>
      <c r="D59" s="54">
        <v>73</v>
      </c>
      <c r="E59" s="83">
        <v>16</v>
      </c>
      <c r="F59" s="83">
        <f t="shared" si="0"/>
        <v>1168</v>
      </c>
      <c r="P59"/>
    </row>
    <row r="60" spans="2:16" ht="17.100000000000001" customHeight="1">
      <c r="P60"/>
    </row>
  </sheetData>
  <mergeCells count="3">
    <mergeCell ref="B7:F7"/>
    <mergeCell ref="K7:L7"/>
    <mergeCell ref="H8:I8"/>
  </mergeCells>
  <pageMargins left="0.78740157499999996" right="0.78740157499999996" top="0.984251969" bottom="0.984251969" header="0.49212598499999999" footer="0.49212598499999999"/>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C9E0F-9D55-4816-8E6E-A390E17CD85B}">
  <sheetPr codeName="E7">
    <tabColor rgb="FF00B050"/>
  </sheetPr>
  <dimension ref="B7:N63"/>
  <sheetViews>
    <sheetView showGridLines="0" workbookViewId="0">
      <selection activeCell="P20" sqref="P20"/>
    </sheetView>
  </sheetViews>
  <sheetFormatPr defaultColWidth="12.6640625" defaultRowHeight="17.100000000000001" customHeight="1"/>
  <cols>
    <col min="1" max="1" width="5.6640625" style="10" customWidth="1"/>
    <col min="2" max="2" width="10.109375" style="10" bestFit="1" customWidth="1"/>
    <col min="3" max="4" width="15.6640625" style="10" customWidth="1"/>
    <col min="5" max="5" width="18" style="12" bestFit="1" customWidth="1"/>
    <col min="6" max="6" width="5.6640625" style="10" customWidth="1"/>
    <col min="7" max="7" width="21.5546875" style="10" bestFit="1" customWidth="1"/>
    <col min="8" max="10" width="15.6640625" style="10" customWidth="1"/>
    <col min="11" max="12" width="5.6640625" style="10" customWidth="1"/>
    <col min="13" max="16384" width="12.6640625" style="10"/>
  </cols>
  <sheetData>
    <row r="7" spans="2:14" ht="17.100000000000001" customHeight="1">
      <c r="E7" s="10"/>
    </row>
    <row r="8" spans="2:14" s="11" customFormat="1" ht="17.100000000000001" customHeight="1" thickBot="1">
      <c r="B8" s="113" t="s">
        <v>130</v>
      </c>
      <c r="C8" s="113"/>
      <c r="D8" s="113"/>
      <c r="E8" s="113"/>
      <c r="F8" s="23"/>
      <c r="G8" s="14"/>
      <c r="H8" s="14"/>
      <c r="I8" s="14"/>
      <c r="M8" s="114"/>
      <c r="N8" s="114"/>
    </row>
    <row r="9" spans="2:14" s="11" customFormat="1" ht="17.100000000000001" customHeight="1" thickBot="1">
      <c r="B9" s="63" t="s">
        <v>3</v>
      </c>
      <c r="C9" s="63" t="s">
        <v>19</v>
      </c>
      <c r="D9" s="63" t="s">
        <v>29</v>
      </c>
      <c r="E9" s="63" t="s">
        <v>4</v>
      </c>
      <c r="F9" s="15"/>
      <c r="G9" s="90" t="s">
        <v>16</v>
      </c>
      <c r="H9" s="89" t="s">
        <v>19</v>
      </c>
      <c r="L9" s="13"/>
      <c r="M9" s="13"/>
    </row>
    <row r="10" spans="2:14" s="11" customFormat="1" ht="17.100000000000001" customHeight="1" thickBot="1">
      <c r="B10" s="87" t="s">
        <v>6</v>
      </c>
      <c r="C10" s="87">
        <v>6345</v>
      </c>
      <c r="D10" s="87">
        <v>4124</v>
      </c>
      <c r="E10" s="87"/>
      <c r="F10" s="15"/>
      <c r="G10" s="88"/>
      <c r="H10" s="88"/>
      <c r="I10" s="24"/>
    </row>
    <row r="11" spans="2:14" s="46" customFormat="1" ht="17.100000000000001" customHeight="1" thickBot="1">
      <c r="B11" s="87" t="s">
        <v>6</v>
      </c>
      <c r="C11" s="87">
        <v>3246</v>
      </c>
      <c r="D11" s="87">
        <v>1987</v>
      </c>
      <c r="E11" s="87"/>
      <c r="F11" s="15"/>
      <c r="G11" s="118" t="s">
        <v>131</v>
      </c>
      <c r="H11" s="119"/>
      <c r="I11" s="24"/>
    </row>
    <row r="12" spans="2:14" s="46" customFormat="1" ht="17.100000000000001" customHeight="1" thickBot="1">
      <c r="B12" s="87" t="s">
        <v>6</v>
      </c>
      <c r="C12" s="87">
        <v>1056</v>
      </c>
      <c r="D12" s="87">
        <v>3621</v>
      </c>
      <c r="E12" s="87"/>
      <c r="F12" s="15"/>
      <c r="G12" s="87" t="s">
        <v>3</v>
      </c>
      <c r="H12" s="87" t="s">
        <v>71</v>
      </c>
      <c r="I12" s="24"/>
    </row>
    <row r="13" spans="2:14" s="46" customFormat="1" ht="17.100000000000001" customHeight="1" thickBot="1">
      <c r="B13" s="87" t="s">
        <v>7</v>
      </c>
      <c r="C13" s="87">
        <v>2145</v>
      </c>
      <c r="D13" s="87">
        <v>2569</v>
      </c>
      <c r="E13" s="87"/>
      <c r="F13" s="15"/>
      <c r="G13" s="28" t="s">
        <v>6</v>
      </c>
      <c r="H13" s="27"/>
      <c r="I13" s="24"/>
    </row>
    <row r="14" spans="2:14" s="11" customFormat="1" ht="17.100000000000001" customHeight="1" thickBot="1">
      <c r="B14" s="87" t="s">
        <v>7</v>
      </c>
      <c r="C14" s="87">
        <v>1034</v>
      </c>
      <c r="D14" s="87">
        <v>5382</v>
      </c>
      <c r="E14" s="87"/>
      <c r="F14" s="15"/>
      <c r="G14" s="26" t="s">
        <v>7</v>
      </c>
      <c r="H14" s="25"/>
      <c r="I14" s="24"/>
    </row>
    <row r="15" spans="2:14" ht="17.100000000000001" customHeight="1" thickBot="1">
      <c r="B15" s="87" t="s">
        <v>7</v>
      </c>
      <c r="C15" s="87">
        <v>7929</v>
      </c>
      <c r="D15" s="87">
        <v>5909</v>
      </c>
      <c r="E15" s="87"/>
      <c r="F15" s="15"/>
      <c r="G15" s="26" t="s">
        <v>8</v>
      </c>
      <c r="H15" s="25"/>
      <c r="I15" s="24"/>
      <c r="L15" s="17"/>
      <c r="M15" s="17"/>
    </row>
    <row r="16" spans="2:14" ht="17.100000000000001" customHeight="1" thickBot="1">
      <c r="B16" s="87" t="s">
        <v>7</v>
      </c>
      <c r="C16" s="87">
        <v>5707</v>
      </c>
      <c r="D16" s="87">
        <v>8137</v>
      </c>
      <c r="E16" s="87"/>
      <c r="F16" s="15"/>
      <c r="G16" s="26" t="s">
        <v>17</v>
      </c>
      <c r="H16" s="25"/>
      <c r="I16" s="24"/>
    </row>
    <row r="17" spans="2:9" ht="17.100000000000001" customHeight="1" thickBot="1">
      <c r="B17" s="87" t="s">
        <v>7</v>
      </c>
      <c r="C17" s="87">
        <v>3624</v>
      </c>
      <c r="D17" s="87">
        <v>4324</v>
      </c>
      <c r="E17" s="87"/>
      <c r="F17" s="15"/>
      <c r="G17" s="26" t="s">
        <v>18</v>
      </c>
      <c r="H17" s="25"/>
      <c r="I17" s="24"/>
    </row>
    <row r="18" spans="2:9" ht="17.100000000000001" customHeight="1" thickBot="1">
      <c r="B18" s="87" t="s">
        <v>8</v>
      </c>
      <c r="C18" s="87">
        <v>2519</v>
      </c>
      <c r="D18" s="87">
        <v>7560</v>
      </c>
      <c r="E18" s="87"/>
      <c r="F18" s="15"/>
      <c r="G18" s="26" t="s">
        <v>9</v>
      </c>
      <c r="H18" s="25"/>
      <c r="I18" s="24"/>
    </row>
    <row r="19" spans="2:9" ht="17.100000000000001" customHeight="1" thickBot="1">
      <c r="B19" s="87" t="s">
        <v>17</v>
      </c>
      <c r="C19" s="87">
        <v>2322</v>
      </c>
      <c r="D19" s="87">
        <v>2671</v>
      </c>
      <c r="E19" s="87"/>
      <c r="F19" s="15"/>
      <c r="G19" s="26" t="s">
        <v>10</v>
      </c>
      <c r="H19" s="25"/>
      <c r="I19" s="24"/>
    </row>
    <row r="20" spans="2:9" ht="17.100000000000001" customHeight="1" thickBot="1">
      <c r="B20" s="87" t="s">
        <v>18</v>
      </c>
      <c r="C20" s="87">
        <v>2300</v>
      </c>
      <c r="D20" s="87">
        <v>6004</v>
      </c>
      <c r="E20" s="87"/>
      <c r="F20" s="15"/>
      <c r="G20" s="26" t="s">
        <v>11</v>
      </c>
      <c r="H20" s="25"/>
      <c r="I20" s="24"/>
    </row>
    <row r="21" spans="2:9" ht="17.100000000000001" customHeight="1" thickBot="1">
      <c r="B21" s="87" t="s">
        <v>18</v>
      </c>
      <c r="C21" s="87">
        <v>8169</v>
      </c>
      <c r="D21" s="87">
        <v>4804</v>
      </c>
      <c r="E21" s="87"/>
      <c r="F21" s="15"/>
      <c r="G21" s="26" t="s">
        <v>12</v>
      </c>
      <c r="H21" s="25"/>
      <c r="I21" s="24"/>
    </row>
    <row r="22" spans="2:9" ht="17.100000000000001" customHeight="1" thickBot="1">
      <c r="B22" s="87" t="s">
        <v>9</v>
      </c>
      <c r="C22" s="87">
        <v>2076</v>
      </c>
      <c r="D22" s="87">
        <v>7692</v>
      </c>
      <c r="E22" s="87"/>
      <c r="F22" s="15"/>
      <c r="G22" s="26" t="s">
        <v>13</v>
      </c>
      <c r="H22" s="25"/>
      <c r="I22" s="24"/>
    </row>
    <row r="23" spans="2:9" ht="17.100000000000001" customHeight="1" thickBot="1">
      <c r="B23" s="87" t="s">
        <v>10</v>
      </c>
      <c r="C23" s="87">
        <v>5427</v>
      </c>
      <c r="D23" s="87">
        <v>3790</v>
      </c>
      <c r="E23" s="87"/>
      <c r="F23" s="15"/>
      <c r="G23" s="26" t="s">
        <v>14</v>
      </c>
      <c r="H23" s="25"/>
      <c r="I23" s="24"/>
    </row>
    <row r="24" spans="2:9" ht="17.100000000000001" customHeight="1" thickBot="1">
      <c r="B24" s="87" t="s">
        <v>10</v>
      </c>
      <c r="C24" s="87">
        <v>4757</v>
      </c>
      <c r="D24" s="87">
        <v>2779</v>
      </c>
      <c r="E24" s="87"/>
      <c r="F24" s="15"/>
      <c r="G24" s="26" t="s">
        <v>15</v>
      </c>
      <c r="H24" s="25"/>
      <c r="I24" s="24"/>
    </row>
    <row r="25" spans="2:9" ht="17.100000000000001" customHeight="1" thickBot="1">
      <c r="B25" s="87" t="s">
        <v>10</v>
      </c>
      <c r="C25" s="87">
        <v>7120</v>
      </c>
      <c r="D25" s="87">
        <v>1520</v>
      </c>
      <c r="E25" s="87"/>
      <c r="F25" s="15"/>
      <c r="I25" s="24"/>
    </row>
    <row r="26" spans="2:9" ht="17.100000000000001" customHeight="1" thickBot="1">
      <c r="B26" s="87" t="s">
        <v>11</v>
      </c>
      <c r="C26" s="87">
        <v>3403</v>
      </c>
      <c r="D26" s="87">
        <v>1419</v>
      </c>
      <c r="E26" s="87"/>
      <c r="F26" s="15"/>
      <c r="G26" s="117" t="s">
        <v>133</v>
      </c>
      <c r="H26" s="117"/>
      <c r="I26" s="24"/>
    </row>
    <row r="27" spans="2:9" ht="17.100000000000001" customHeight="1" thickBot="1">
      <c r="B27" s="87" t="s">
        <v>12</v>
      </c>
      <c r="C27" s="87">
        <v>8467</v>
      </c>
      <c r="D27" s="87">
        <v>2721</v>
      </c>
      <c r="E27" s="87"/>
      <c r="F27" s="15"/>
      <c r="G27" s="36" t="s">
        <v>118</v>
      </c>
      <c r="H27" s="29"/>
      <c r="I27" s="24"/>
    </row>
    <row r="28" spans="2:9" ht="17.100000000000001" customHeight="1" thickBot="1">
      <c r="B28" s="87" t="s">
        <v>13</v>
      </c>
      <c r="C28" s="87">
        <v>5897</v>
      </c>
      <c r="D28" s="87">
        <v>4547</v>
      </c>
      <c r="E28" s="87"/>
      <c r="F28" s="15"/>
      <c r="G28" s="37" t="s">
        <v>54</v>
      </c>
      <c r="H28" s="29"/>
      <c r="I28" s="24"/>
    </row>
    <row r="29" spans="2:9" ht="17.100000000000001" customHeight="1" thickBot="1">
      <c r="B29" s="87" t="s">
        <v>13</v>
      </c>
      <c r="C29" s="87">
        <v>2678</v>
      </c>
      <c r="D29" s="87">
        <v>7826</v>
      </c>
      <c r="E29" s="87"/>
      <c r="F29" s="15"/>
      <c r="G29" s="37" t="s">
        <v>132</v>
      </c>
      <c r="H29" s="29"/>
      <c r="I29" s="24"/>
    </row>
    <row r="30" spans="2:9" ht="17.100000000000001" customHeight="1" thickBot="1">
      <c r="B30" s="87" t="s">
        <v>13</v>
      </c>
      <c r="C30" s="87">
        <v>2431</v>
      </c>
      <c r="D30" s="87">
        <v>2579</v>
      </c>
      <c r="E30" s="87"/>
      <c r="F30" s="15"/>
      <c r="I30" s="24"/>
    </row>
    <row r="31" spans="2:9" ht="17.100000000000001" customHeight="1" thickBot="1">
      <c r="B31" s="87" t="s">
        <v>13</v>
      </c>
      <c r="C31" s="87">
        <v>1322</v>
      </c>
      <c r="D31" s="87">
        <v>15974</v>
      </c>
      <c r="E31" s="87"/>
      <c r="F31" s="15"/>
    </row>
    <row r="32" spans="2:9" ht="17.100000000000001" customHeight="1" thickBot="1">
      <c r="B32" s="87" t="s">
        <v>13</v>
      </c>
      <c r="C32" s="87">
        <v>7938</v>
      </c>
      <c r="D32" s="87">
        <v>6427</v>
      </c>
      <c r="E32" s="87"/>
      <c r="F32" s="15"/>
      <c r="I32" s="11"/>
    </row>
    <row r="33" spans="2:9" ht="17.100000000000001" customHeight="1" thickBot="1">
      <c r="B33" s="87" t="s">
        <v>14</v>
      </c>
      <c r="C33" s="87">
        <v>6767</v>
      </c>
      <c r="D33" s="87">
        <v>3967</v>
      </c>
      <c r="E33" s="87"/>
      <c r="F33" s="15"/>
      <c r="G33" s="15"/>
      <c r="H33" s="16"/>
      <c r="I33" s="11"/>
    </row>
    <row r="34" spans="2:9" ht="17.100000000000001" customHeight="1" thickBot="1">
      <c r="B34" s="87" t="s">
        <v>14</v>
      </c>
      <c r="C34" s="87">
        <v>1126</v>
      </c>
      <c r="D34" s="87">
        <v>2388</v>
      </c>
      <c r="E34" s="87"/>
      <c r="F34" s="15"/>
      <c r="G34" s="15"/>
      <c r="H34" s="16"/>
      <c r="I34" s="11"/>
    </row>
    <row r="35" spans="2:9" ht="17.100000000000001" customHeight="1" thickBot="1">
      <c r="B35" s="87" t="s">
        <v>15</v>
      </c>
      <c r="C35" s="87">
        <v>5820</v>
      </c>
      <c r="D35" s="87">
        <v>4116</v>
      </c>
      <c r="E35" s="87"/>
      <c r="F35" s="15"/>
      <c r="I35" s="11"/>
    </row>
    <row r="36" spans="2:9" ht="17.100000000000001" customHeight="1" thickBot="1">
      <c r="B36" s="87" t="s">
        <v>15</v>
      </c>
      <c r="C36" s="87">
        <v>8469</v>
      </c>
      <c r="D36" s="87">
        <v>7648</v>
      </c>
      <c r="E36" s="87"/>
    </row>
    <row r="37" spans="2:9" ht="17.100000000000001" customHeight="1" thickBot="1">
      <c r="B37" s="87" t="s">
        <v>15</v>
      </c>
      <c r="C37" s="87">
        <v>3200</v>
      </c>
      <c r="D37" s="87">
        <v>5693</v>
      </c>
      <c r="E37" s="87"/>
    </row>
    <row r="38" spans="2:9" ht="17.100000000000001" customHeight="1" thickBot="1">
      <c r="B38" s="87" t="s">
        <v>15</v>
      </c>
      <c r="C38" s="87">
        <v>1879</v>
      </c>
      <c r="D38" s="87">
        <v>7840</v>
      </c>
      <c r="E38" s="87"/>
    </row>
    <row r="39" spans="2:9" ht="17.100000000000001" customHeight="1">
      <c r="E39" s="10"/>
    </row>
    <row r="40" spans="2:9" ht="17.100000000000001" customHeight="1">
      <c r="E40" s="10"/>
    </row>
    <row r="41" spans="2:9" ht="17.100000000000001" customHeight="1">
      <c r="E41" s="10"/>
    </row>
    <row r="42" spans="2:9" ht="17.100000000000001" customHeight="1">
      <c r="E42" s="10"/>
    </row>
    <row r="43" spans="2:9" ht="17.100000000000001" customHeight="1">
      <c r="E43" s="10"/>
    </row>
    <row r="44" spans="2:9" ht="17.100000000000001" customHeight="1">
      <c r="E44" s="10"/>
    </row>
    <row r="45" spans="2:9" ht="17.100000000000001" customHeight="1">
      <c r="E45" s="10"/>
    </row>
    <row r="46" spans="2:9" ht="17.100000000000001" customHeight="1">
      <c r="E46" s="10"/>
    </row>
    <row r="47" spans="2:9" ht="17.100000000000001" customHeight="1">
      <c r="E47" s="10"/>
    </row>
    <row r="48" spans="2:9" ht="17.100000000000001" customHeight="1">
      <c r="E48" s="10"/>
    </row>
    <row r="49" spans="5:5" ht="17.100000000000001" customHeight="1">
      <c r="E49" s="10"/>
    </row>
    <row r="50" spans="5:5" ht="17.100000000000001" customHeight="1">
      <c r="E50" s="10"/>
    </row>
    <row r="51" spans="5:5" ht="17.100000000000001" customHeight="1">
      <c r="E51" s="10"/>
    </row>
    <row r="52" spans="5:5" ht="17.100000000000001" customHeight="1">
      <c r="E52" s="10"/>
    </row>
    <row r="53" spans="5:5" ht="17.100000000000001" customHeight="1">
      <c r="E53" s="10"/>
    </row>
    <row r="54" spans="5:5" ht="17.100000000000001" customHeight="1">
      <c r="E54" s="10"/>
    </row>
    <row r="55" spans="5:5" ht="17.100000000000001" customHeight="1">
      <c r="E55" s="10"/>
    </row>
    <row r="56" spans="5:5" ht="17.100000000000001" customHeight="1">
      <c r="E56" s="10"/>
    </row>
    <row r="57" spans="5:5" ht="17.100000000000001" customHeight="1">
      <c r="E57" s="10"/>
    </row>
    <row r="58" spans="5:5" ht="17.100000000000001" customHeight="1">
      <c r="E58" s="10"/>
    </row>
    <row r="59" spans="5:5" ht="17.100000000000001" customHeight="1">
      <c r="E59" s="10"/>
    </row>
    <row r="60" spans="5:5" ht="17.100000000000001" customHeight="1">
      <c r="E60" s="10"/>
    </row>
    <row r="61" spans="5:5" ht="17.100000000000001" customHeight="1">
      <c r="E61" s="10"/>
    </row>
    <row r="62" spans="5:5" ht="17.100000000000001" customHeight="1">
      <c r="E62" s="10"/>
    </row>
    <row r="63" spans="5:5" ht="17.100000000000001" customHeight="1">
      <c r="E63" s="10"/>
    </row>
  </sheetData>
  <mergeCells count="4">
    <mergeCell ref="G26:H26"/>
    <mergeCell ref="M8:N8"/>
    <mergeCell ref="B8:E8"/>
    <mergeCell ref="G11:H11"/>
  </mergeCells>
  <pageMargins left="0.78740157499999996" right="0.78740157499999996" top="0.984251969" bottom="0.984251969" header="0.49212598499999999" footer="0.49212598499999999"/>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5EB3F-A412-4DEE-93E6-6784B063F3DB}">
  <sheetPr codeName="E8">
    <tabColor rgb="FF00B050"/>
  </sheetPr>
  <dimension ref="B6:M376"/>
  <sheetViews>
    <sheetView showGridLines="0" workbookViewId="0">
      <selection activeCell="D23" sqref="D23"/>
    </sheetView>
  </sheetViews>
  <sheetFormatPr defaultColWidth="12.6640625" defaultRowHeight="17.100000000000001" customHeight="1"/>
  <cols>
    <col min="1" max="1" width="5.6640625" style="10" customWidth="1"/>
    <col min="2" max="3" width="15.5546875" style="10" customWidth="1"/>
    <col min="4" max="4" width="29.33203125" style="10" bestFit="1" customWidth="1"/>
    <col min="5" max="5" width="24.33203125" style="12" bestFit="1" customWidth="1"/>
    <col min="6" max="6" width="5.6640625" style="10" customWidth="1"/>
    <col min="7" max="8" width="18" style="10" bestFit="1" customWidth="1"/>
    <col min="9" max="9" width="33" style="10" bestFit="1" customWidth="1"/>
    <col min="10" max="10" width="30.5546875" style="10" bestFit="1" customWidth="1"/>
    <col min="11" max="16384" width="12.6640625" style="10"/>
  </cols>
  <sheetData>
    <row r="6" spans="2:13" ht="15">
      <c r="E6" s="10"/>
    </row>
    <row r="7" spans="2:13" s="11" customFormat="1" ht="17.100000000000001" customHeight="1">
      <c r="B7" s="23"/>
      <c r="C7" s="23"/>
      <c r="D7" s="23"/>
      <c r="E7" s="23"/>
      <c r="F7" s="23"/>
      <c r="K7" s="114"/>
      <c r="L7" s="114"/>
    </row>
    <row r="8" spans="2:13" s="11" customFormat="1" ht="15">
      <c r="B8" s="92" t="s">
        <v>2</v>
      </c>
      <c r="C8" s="92" t="s">
        <v>134</v>
      </c>
      <c r="D8" s="92" t="s">
        <v>75</v>
      </c>
      <c r="E8" s="92" t="s">
        <v>135</v>
      </c>
      <c r="F8" s="10"/>
      <c r="G8" s="10"/>
      <c r="H8" s="10"/>
      <c r="I8" s="10"/>
      <c r="J8" s="10"/>
      <c r="K8" s="10"/>
      <c r="L8" s="10"/>
      <c r="M8" s="10"/>
    </row>
    <row r="9" spans="2:13" s="11" customFormat="1" ht="15">
      <c r="B9">
        <v>43105</v>
      </c>
      <c r="C9" s="92" t="s">
        <v>77</v>
      </c>
      <c r="D9" s="92">
        <v>90</v>
      </c>
      <c r="E9" s="92">
        <v>59</v>
      </c>
      <c r="F9" s="10"/>
      <c r="G9" s="10"/>
      <c r="H9" s="10"/>
      <c r="I9" s="10"/>
      <c r="J9" s="10"/>
      <c r="K9" s="10"/>
      <c r="L9" s="10"/>
      <c r="M9" s="10"/>
    </row>
    <row r="10" spans="2:13" s="11" customFormat="1" ht="15">
      <c r="B10">
        <v>43106</v>
      </c>
      <c r="C10" s="92" t="s">
        <v>77</v>
      </c>
      <c r="D10" s="92">
        <v>98</v>
      </c>
      <c r="E10" s="92">
        <v>81</v>
      </c>
      <c r="F10" s="10"/>
      <c r="G10" s="10"/>
      <c r="H10" s="10"/>
      <c r="I10" s="10"/>
      <c r="J10" s="10"/>
      <c r="K10" s="10"/>
      <c r="L10" s="10"/>
      <c r="M10" s="10"/>
    </row>
    <row r="11" spans="2:13" ht="15">
      <c r="B11">
        <v>43107</v>
      </c>
      <c r="C11" s="92" t="s">
        <v>78</v>
      </c>
      <c r="D11" s="92">
        <v>87</v>
      </c>
      <c r="E11" s="92">
        <v>52</v>
      </c>
    </row>
    <row r="12" spans="2:13" ht="15">
      <c r="B12">
        <v>43108</v>
      </c>
      <c r="C12" s="92" t="s">
        <v>78</v>
      </c>
      <c r="D12" s="92">
        <v>69</v>
      </c>
      <c r="E12" s="92">
        <v>72</v>
      </c>
    </row>
    <row r="13" spans="2:13" ht="15">
      <c r="B13">
        <v>43109</v>
      </c>
      <c r="C13" s="92" t="s">
        <v>77</v>
      </c>
      <c r="D13" s="92">
        <v>38</v>
      </c>
      <c r="E13" s="92">
        <v>62</v>
      </c>
    </row>
    <row r="14" spans="2:13" ht="15">
      <c r="B14">
        <v>43110</v>
      </c>
      <c r="C14" s="92" t="s">
        <v>79</v>
      </c>
      <c r="D14" s="92">
        <v>43</v>
      </c>
      <c r="E14" s="92">
        <v>84</v>
      </c>
    </row>
    <row r="15" spans="2:13" ht="15">
      <c r="B15">
        <v>43111</v>
      </c>
      <c r="C15" s="92" t="s">
        <v>79</v>
      </c>
      <c r="D15" s="92">
        <v>64</v>
      </c>
      <c r="E15" s="92">
        <v>31</v>
      </c>
      <c r="H15"/>
      <c r="I15"/>
    </row>
    <row r="16" spans="2:13" ht="15">
      <c r="B16">
        <v>43112</v>
      </c>
      <c r="C16" s="92" t="s">
        <v>77</v>
      </c>
      <c r="D16" s="92">
        <v>35</v>
      </c>
      <c r="E16" s="92">
        <v>29</v>
      </c>
      <c r="G16"/>
      <c r="H16"/>
      <c r="I16"/>
    </row>
    <row r="17" spans="2:10" ht="15">
      <c r="B17">
        <v>43113</v>
      </c>
      <c r="C17" s="92" t="s">
        <v>80</v>
      </c>
      <c r="D17" s="92">
        <v>58</v>
      </c>
      <c r="E17" s="92">
        <v>80</v>
      </c>
      <c r="G17" s="44"/>
      <c r="H17"/>
      <c r="I17"/>
      <c r="J17"/>
    </row>
    <row r="18" spans="2:10" ht="15">
      <c r="B18">
        <v>43114</v>
      </c>
      <c r="C18" s="92" t="s">
        <v>78</v>
      </c>
      <c r="D18" s="92">
        <v>87</v>
      </c>
      <c r="E18" s="92">
        <v>75</v>
      </c>
      <c r="G18" s="44"/>
      <c r="H18" s="93"/>
      <c r="I18" s="94"/>
      <c r="J18" s="95"/>
    </row>
    <row r="19" spans="2:10" ht="15">
      <c r="B19">
        <v>43115</v>
      </c>
      <c r="C19" s="92" t="s">
        <v>79</v>
      </c>
      <c r="D19" s="92">
        <v>30</v>
      </c>
      <c r="E19" s="92">
        <v>76</v>
      </c>
      <c r="G19" s="44"/>
      <c r="H19" s="96"/>
      <c r="I19" s="97"/>
      <c r="J19" s="98"/>
    </row>
    <row r="20" spans="2:10" ht="15">
      <c r="B20">
        <v>43116</v>
      </c>
      <c r="C20" s="92" t="s">
        <v>79</v>
      </c>
      <c r="D20" s="92">
        <v>60</v>
      </c>
      <c r="E20" s="92">
        <v>46</v>
      </c>
      <c r="G20" s="44"/>
      <c r="H20" s="96"/>
      <c r="I20" s="97"/>
      <c r="J20" s="98"/>
    </row>
    <row r="21" spans="2:10" ht="15">
      <c r="B21">
        <v>43117</v>
      </c>
      <c r="C21" s="92" t="s">
        <v>77</v>
      </c>
      <c r="D21" s="92">
        <v>29</v>
      </c>
      <c r="E21" s="92">
        <v>46</v>
      </c>
      <c r="G21" s="44"/>
      <c r="H21" s="96"/>
      <c r="I21" s="97"/>
      <c r="J21" s="98"/>
    </row>
    <row r="22" spans="2:10" ht="15">
      <c r="B22">
        <v>43118</v>
      </c>
      <c r="C22" s="92" t="s">
        <v>78</v>
      </c>
      <c r="D22" s="92">
        <v>34</v>
      </c>
      <c r="E22" s="92">
        <v>81</v>
      </c>
      <c r="G22" s="44"/>
      <c r="H22" s="96"/>
      <c r="I22" s="97"/>
      <c r="J22" s="98"/>
    </row>
    <row r="23" spans="2:10" ht="15">
      <c r="B23">
        <v>43119</v>
      </c>
      <c r="C23" s="92" t="s">
        <v>79</v>
      </c>
      <c r="D23" s="92">
        <v>93</v>
      </c>
      <c r="E23" s="92">
        <v>85</v>
      </c>
      <c r="G23" s="44"/>
      <c r="H23" s="96"/>
      <c r="I23" s="97"/>
      <c r="J23" s="98"/>
    </row>
    <row r="24" spans="2:10" ht="15">
      <c r="B24">
        <v>43120</v>
      </c>
      <c r="C24" s="92" t="s">
        <v>78</v>
      </c>
      <c r="D24" s="92">
        <v>100</v>
      </c>
      <c r="E24" s="92">
        <v>88</v>
      </c>
      <c r="F24" s="23"/>
      <c r="G24" s="44"/>
      <c r="H24" s="96"/>
      <c r="I24" s="97"/>
      <c r="J24" s="98"/>
    </row>
    <row r="25" spans="2:10" ht="15">
      <c r="B25">
        <v>43121</v>
      </c>
      <c r="C25" s="92" t="s">
        <v>79</v>
      </c>
      <c r="D25" s="92">
        <v>58</v>
      </c>
      <c r="E25" s="92">
        <v>60</v>
      </c>
      <c r="F25" s="23"/>
      <c r="G25" s="44"/>
      <c r="H25" s="96"/>
      <c r="I25" s="97"/>
      <c r="J25" s="98"/>
    </row>
    <row r="26" spans="2:10" ht="15">
      <c r="B26">
        <v>43122</v>
      </c>
      <c r="C26" s="92" t="s">
        <v>78</v>
      </c>
      <c r="D26" s="92">
        <v>47</v>
      </c>
      <c r="E26" s="92">
        <v>77</v>
      </c>
      <c r="F26" s="23"/>
      <c r="G26" s="44"/>
      <c r="H26" s="96"/>
      <c r="I26" s="97"/>
      <c r="J26" s="98"/>
    </row>
    <row r="27" spans="2:10" ht="15">
      <c r="B27">
        <v>43123</v>
      </c>
      <c r="C27" s="92" t="s">
        <v>79</v>
      </c>
      <c r="D27" s="92">
        <v>71</v>
      </c>
      <c r="E27" s="92">
        <v>73</v>
      </c>
      <c r="F27" s="23"/>
      <c r="G27" s="44"/>
      <c r="H27" s="96"/>
      <c r="I27" s="97"/>
      <c r="J27" s="98"/>
    </row>
    <row r="28" spans="2:10" ht="15">
      <c r="B28">
        <v>43124</v>
      </c>
      <c r="C28" s="92" t="s">
        <v>78</v>
      </c>
      <c r="D28" s="92">
        <v>52</v>
      </c>
      <c r="E28" s="92">
        <v>56</v>
      </c>
      <c r="F28" s="23"/>
      <c r="G28" s="44"/>
      <c r="H28" s="96"/>
      <c r="I28" s="97"/>
      <c r="J28" s="98"/>
    </row>
    <row r="29" spans="2:10" ht="15">
      <c r="B29">
        <v>43125</v>
      </c>
      <c r="C29" s="92" t="s">
        <v>77</v>
      </c>
      <c r="D29" s="92">
        <v>42</v>
      </c>
      <c r="E29" s="92">
        <v>39</v>
      </c>
      <c r="F29" s="23"/>
      <c r="G29" s="44"/>
      <c r="H29" s="96"/>
      <c r="I29" s="97"/>
      <c r="J29" s="98"/>
    </row>
    <row r="30" spans="2:10" ht="15">
      <c r="B30">
        <v>43126</v>
      </c>
      <c r="C30" s="92" t="s">
        <v>80</v>
      </c>
      <c r="D30" s="92">
        <v>72</v>
      </c>
      <c r="E30" s="92">
        <v>86</v>
      </c>
      <c r="F30" s="23"/>
      <c r="G30" s="44"/>
      <c r="H30" s="96"/>
      <c r="I30" s="97"/>
      <c r="J30" s="98"/>
    </row>
    <row r="31" spans="2:10" ht="15">
      <c r="B31">
        <v>43127</v>
      </c>
      <c r="C31" s="92" t="s">
        <v>77</v>
      </c>
      <c r="D31" s="92">
        <v>80</v>
      </c>
      <c r="E31" s="92">
        <v>100</v>
      </c>
      <c r="F31" s="23"/>
      <c r="G31" s="44"/>
      <c r="H31" s="96"/>
      <c r="I31" s="97"/>
      <c r="J31" s="98"/>
    </row>
    <row r="32" spans="2:10" ht="15">
      <c r="B32">
        <v>43128</v>
      </c>
      <c r="C32" s="92" t="s">
        <v>80</v>
      </c>
      <c r="D32" s="92">
        <v>45</v>
      </c>
      <c r="E32" s="92">
        <v>39</v>
      </c>
      <c r="F32" s="23"/>
      <c r="G32" s="44"/>
      <c r="H32" s="96"/>
      <c r="I32" s="97"/>
      <c r="J32" s="98"/>
    </row>
    <row r="33" spans="2:10" ht="15">
      <c r="B33">
        <v>43129</v>
      </c>
      <c r="C33" s="92" t="s">
        <v>80</v>
      </c>
      <c r="D33" s="92">
        <v>33</v>
      </c>
      <c r="E33" s="92">
        <v>86</v>
      </c>
      <c r="F33" s="23"/>
      <c r="G33" s="44"/>
      <c r="H33" s="96"/>
      <c r="I33" s="97"/>
      <c r="J33" s="98"/>
    </row>
    <row r="34" spans="2:10" ht="15">
      <c r="B34">
        <v>43130</v>
      </c>
      <c r="C34" s="92" t="s">
        <v>79</v>
      </c>
      <c r="D34" s="92">
        <v>97</v>
      </c>
      <c r="E34" s="92">
        <v>36</v>
      </c>
      <c r="F34" s="23"/>
      <c r="G34" s="44"/>
      <c r="H34" s="96"/>
      <c r="I34" s="97"/>
      <c r="J34" s="98"/>
    </row>
    <row r="35" spans="2:10" ht="15">
      <c r="B35">
        <v>43131</v>
      </c>
      <c r="C35" s="92" t="s">
        <v>77</v>
      </c>
      <c r="D35" s="92">
        <v>35</v>
      </c>
      <c r="E35" s="92">
        <v>53</v>
      </c>
      <c r="F35" s="23"/>
      <c r="G35"/>
      <c r="H35" s="96"/>
      <c r="I35" s="97"/>
      <c r="J35" s="98"/>
    </row>
    <row r="36" spans="2:10" ht="15">
      <c r="B36">
        <v>43132</v>
      </c>
      <c r="C36" s="92" t="s">
        <v>78</v>
      </c>
      <c r="D36" s="92">
        <v>95</v>
      </c>
      <c r="E36" s="92">
        <v>40</v>
      </c>
      <c r="F36" s="23"/>
      <c r="G36"/>
      <c r="H36" s="99"/>
      <c r="I36" s="100"/>
      <c r="J36" s="101"/>
    </row>
    <row r="37" spans="2:10" ht="15">
      <c r="B37">
        <v>43133</v>
      </c>
      <c r="C37" s="92" t="s">
        <v>80</v>
      </c>
      <c r="D37" s="92">
        <v>82</v>
      </c>
      <c r="E37" s="92">
        <v>56</v>
      </c>
      <c r="F37" s="23"/>
      <c r="G37"/>
      <c r="H37"/>
      <c r="I37"/>
      <c r="J37"/>
    </row>
    <row r="38" spans="2:10" ht="15">
      <c r="B38">
        <v>43134</v>
      </c>
      <c r="C38" s="92" t="s">
        <v>79</v>
      </c>
      <c r="D38" s="92">
        <v>67</v>
      </c>
      <c r="E38" s="92">
        <v>39</v>
      </c>
      <c r="F38" s="23"/>
      <c r="G38"/>
      <c r="H38"/>
      <c r="I38"/>
      <c r="J38"/>
    </row>
    <row r="39" spans="2:10" ht="15">
      <c r="B39">
        <v>43135</v>
      </c>
      <c r="C39" s="92" t="s">
        <v>77</v>
      </c>
      <c r="D39" s="92">
        <v>43</v>
      </c>
      <c r="E39" s="92">
        <v>88</v>
      </c>
      <c r="F39" s="23"/>
      <c r="G39"/>
      <c r="H39"/>
      <c r="I39"/>
      <c r="J39"/>
    </row>
    <row r="40" spans="2:10" ht="15">
      <c r="B40">
        <v>43136</v>
      </c>
      <c r="C40" s="92" t="s">
        <v>77</v>
      </c>
      <c r="D40" s="92">
        <v>92</v>
      </c>
      <c r="E40" s="92">
        <v>29</v>
      </c>
      <c r="F40" s="23"/>
      <c r="G40"/>
      <c r="H40"/>
      <c r="I40"/>
      <c r="J40"/>
    </row>
    <row r="41" spans="2:10" ht="15">
      <c r="B41">
        <v>43137</v>
      </c>
      <c r="C41" s="92" t="s">
        <v>78</v>
      </c>
      <c r="D41" s="92">
        <v>98</v>
      </c>
      <c r="E41" s="92">
        <v>54</v>
      </c>
      <c r="F41" s="23"/>
      <c r="G41"/>
      <c r="H41"/>
      <c r="I41"/>
      <c r="J41"/>
    </row>
    <row r="42" spans="2:10" ht="15">
      <c r="B42">
        <v>43138</v>
      </c>
      <c r="C42" s="92" t="s">
        <v>79</v>
      </c>
      <c r="D42" s="92">
        <v>33</v>
      </c>
      <c r="E42" s="92">
        <v>40</v>
      </c>
      <c r="F42" s="23"/>
      <c r="G42"/>
      <c r="H42"/>
      <c r="I42"/>
      <c r="J42"/>
    </row>
    <row r="43" spans="2:10" ht="15">
      <c r="B43">
        <v>43139</v>
      </c>
      <c r="C43" s="92" t="s">
        <v>80</v>
      </c>
      <c r="D43" s="92">
        <v>92</v>
      </c>
      <c r="E43" s="92">
        <v>42</v>
      </c>
      <c r="G43"/>
      <c r="H43"/>
      <c r="I43"/>
      <c r="J43"/>
    </row>
    <row r="44" spans="2:10" ht="15">
      <c r="B44">
        <v>43140</v>
      </c>
      <c r="C44" s="92" t="s">
        <v>79</v>
      </c>
      <c r="D44" s="92">
        <v>37</v>
      </c>
      <c r="E44" s="92">
        <v>42</v>
      </c>
      <c r="G44"/>
      <c r="H44"/>
      <c r="I44"/>
      <c r="J44"/>
    </row>
    <row r="45" spans="2:10" ht="15">
      <c r="B45">
        <v>43141</v>
      </c>
      <c r="C45" s="92" t="s">
        <v>79</v>
      </c>
      <c r="D45" s="92">
        <v>69</v>
      </c>
      <c r="E45" s="92">
        <v>56</v>
      </c>
      <c r="G45"/>
      <c r="H45"/>
      <c r="I45"/>
      <c r="J45"/>
    </row>
    <row r="46" spans="2:10" ht="15">
      <c r="B46">
        <v>43142</v>
      </c>
      <c r="C46" s="92" t="s">
        <v>78</v>
      </c>
      <c r="D46" s="92">
        <v>38</v>
      </c>
      <c r="E46" s="92">
        <v>39</v>
      </c>
      <c r="G46"/>
      <c r="H46"/>
      <c r="I46"/>
      <c r="J46"/>
    </row>
    <row r="47" spans="2:10" ht="15">
      <c r="B47">
        <v>43143</v>
      </c>
      <c r="C47" s="92" t="s">
        <v>78</v>
      </c>
      <c r="D47" s="92">
        <v>80</v>
      </c>
      <c r="E47" s="92">
        <v>77</v>
      </c>
      <c r="G47"/>
      <c r="H47"/>
      <c r="I47"/>
      <c r="J47"/>
    </row>
    <row r="48" spans="2:10" ht="15">
      <c r="B48">
        <v>43144</v>
      </c>
      <c r="C48" s="92" t="s">
        <v>80</v>
      </c>
      <c r="D48" s="92">
        <v>61</v>
      </c>
      <c r="E48" s="92">
        <v>34</v>
      </c>
      <c r="G48"/>
      <c r="H48"/>
      <c r="I48"/>
      <c r="J48"/>
    </row>
    <row r="49" spans="2:10" ht="15">
      <c r="B49">
        <v>43145</v>
      </c>
      <c r="C49" s="92" t="s">
        <v>78</v>
      </c>
      <c r="D49" s="92">
        <v>49</v>
      </c>
      <c r="E49" s="92">
        <v>27</v>
      </c>
      <c r="G49"/>
      <c r="H49"/>
      <c r="I49"/>
      <c r="J49"/>
    </row>
    <row r="50" spans="2:10" ht="15">
      <c r="B50">
        <v>43146</v>
      </c>
      <c r="C50" s="92" t="s">
        <v>80</v>
      </c>
      <c r="D50" s="92">
        <v>100</v>
      </c>
      <c r="E50" s="92">
        <v>94</v>
      </c>
      <c r="G50"/>
      <c r="H50"/>
      <c r="I50"/>
      <c r="J50"/>
    </row>
    <row r="51" spans="2:10" ht="15">
      <c r="B51">
        <v>43147</v>
      </c>
      <c r="C51" s="92" t="s">
        <v>79</v>
      </c>
      <c r="D51" s="92">
        <v>33</v>
      </c>
      <c r="E51" s="92">
        <v>72</v>
      </c>
      <c r="G51"/>
      <c r="H51"/>
      <c r="I51"/>
      <c r="J51"/>
    </row>
    <row r="52" spans="2:10" ht="15">
      <c r="B52">
        <v>43148</v>
      </c>
      <c r="C52" s="92" t="s">
        <v>79</v>
      </c>
      <c r="D52" s="92">
        <v>52</v>
      </c>
      <c r="E52" s="92">
        <v>54</v>
      </c>
      <c r="G52"/>
      <c r="H52"/>
      <c r="I52"/>
      <c r="J52"/>
    </row>
    <row r="53" spans="2:10" ht="15">
      <c r="B53">
        <v>43149</v>
      </c>
      <c r="C53" s="92" t="s">
        <v>77</v>
      </c>
      <c r="D53" s="92">
        <v>92</v>
      </c>
      <c r="E53" s="92">
        <v>50</v>
      </c>
      <c r="G53"/>
      <c r="H53"/>
      <c r="I53"/>
      <c r="J53"/>
    </row>
    <row r="54" spans="2:10" ht="15">
      <c r="B54">
        <v>43150</v>
      </c>
      <c r="C54" s="92" t="s">
        <v>79</v>
      </c>
      <c r="D54" s="92">
        <v>75</v>
      </c>
      <c r="E54" s="92">
        <v>67</v>
      </c>
      <c r="G54"/>
      <c r="H54"/>
      <c r="I54"/>
      <c r="J54"/>
    </row>
    <row r="55" spans="2:10" ht="15">
      <c r="B55">
        <v>43151</v>
      </c>
      <c r="C55" s="92" t="s">
        <v>77</v>
      </c>
      <c r="D55" s="92">
        <v>50</v>
      </c>
      <c r="E55" s="92">
        <v>64</v>
      </c>
      <c r="G55"/>
      <c r="H55"/>
      <c r="I55"/>
      <c r="J55"/>
    </row>
    <row r="56" spans="2:10" ht="15">
      <c r="B56">
        <v>43152</v>
      </c>
      <c r="C56" s="92" t="s">
        <v>78</v>
      </c>
      <c r="D56" s="92">
        <v>32</v>
      </c>
      <c r="E56" s="92">
        <v>45</v>
      </c>
      <c r="G56"/>
      <c r="H56"/>
      <c r="I56"/>
      <c r="J56"/>
    </row>
    <row r="57" spans="2:10" ht="15">
      <c r="B57">
        <v>43153</v>
      </c>
      <c r="C57" s="92" t="s">
        <v>79</v>
      </c>
      <c r="D57" s="92">
        <v>54</v>
      </c>
      <c r="E57" s="92">
        <v>29</v>
      </c>
      <c r="G57"/>
      <c r="H57"/>
      <c r="I57"/>
      <c r="J57"/>
    </row>
    <row r="58" spans="2:10" ht="15">
      <c r="B58">
        <v>43154</v>
      </c>
      <c r="C58" s="92" t="s">
        <v>77</v>
      </c>
      <c r="D58" s="92">
        <v>85</v>
      </c>
      <c r="E58" s="92">
        <v>94</v>
      </c>
      <c r="G58"/>
      <c r="H58"/>
      <c r="I58"/>
      <c r="J58"/>
    </row>
    <row r="59" spans="2:10" ht="15">
      <c r="B59">
        <v>43155</v>
      </c>
      <c r="C59" s="92" t="s">
        <v>77</v>
      </c>
      <c r="D59" s="92">
        <v>42</v>
      </c>
      <c r="E59" s="92">
        <v>46</v>
      </c>
      <c r="G59"/>
      <c r="H59"/>
      <c r="I59"/>
      <c r="J59"/>
    </row>
    <row r="60" spans="2:10" ht="15">
      <c r="B60">
        <v>43156</v>
      </c>
      <c r="C60" s="92" t="s">
        <v>78</v>
      </c>
      <c r="D60" s="92">
        <v>36</v>
      </c>
      <c r="E60" s="92">
        <v>71</v>
      </c>
      <c r="G60"/>
      <c r="H60"/>
      <c r="I60"/>
      <c r="J60"/>
    </row>
    <row r="61" spans="2:10" ht="15">
      <c r="B61">
        <v>43157</v>
      </c>
      <c r="C61" s="92" t="s">
        <v>80</v>
      </c>
      <c r="D61" s="92">
        <v>29</v>
      </c>
      <c r="E61" s="92">
        <v>58</v>
      </c>
      <c r="G61"/>
      <c r="H61"/>
      <c r="I61"/>
      <c r="J61"/>
    </row>
    <row r="62" spans="2:10" ht="15">
      <c r="B62">
        <v>43158</v>
      </c>
      <c r="C62" s="92" t="s">
        <v>78</v>
      </c>
      <c r="D62" s="92">
        <v>38</v>
      </c>
      <c r="E62" s="92">
        <v>62</v>
      </c>
      <c r="G62"/>
      <c r="H62"/>
      <c r="I62"/>
      <c r="J62"/>
    </row>
    <row r="63" spans="2:10" ht="15">
      <c r="B63">
        <v>43159</v>
      </c>
      <c r="C63" s="92" t="s">
        <v>80</v>
      </c>
      <c r="D63" s="92">
        <v>74</v>
      </c>
      <c r="E63" s="92">
        <v>46</v>
      </c>
      <c r="G63"/>
      <c r="H63"/>
      <c r="I63"/>
      <c r="J63"/>
    </row>
    <row r="64" spans="2:10" ht="15">
      <c r="B64">
        <v>43160</v>
      </c>
      <c r="C64" s="92" t="s">
        <v>80</v>
      </c>
      <c r="D64" s="92">
        <v>63</v>
      </c>
      <c r="E64" s="92">
        <v>96</v>
      </c>
      <c r="G64"/>
      <c r="H64"/>
      <c r="I64"/>
      <c r="J64"/>
    </row>
    <row r="65" spans="2:10" ht="15">
      <c r="B65">
        <v>43161</v>
      </c>
      <c r="C65" s="92" t="s">
        <v>78</v>
      </c>
      <c r="D65" s="92">
        <v>64</v>
      </c>
      <c r="E65" s="92">
        <v>38</v>
      </c>
      <c r="G65"/>
      <c r="H65"/>
      <c r="I65"/>
      <c r="J65"/>
    </row>
    <row r="66" spans="2:10" ht="15">
      <c r="B66">
        <v>43162</v>
      </c>
      <c r="C66" s="92" t="s">
        <v>78</v>
      </c>
      <c r="D66" s="92">
        <v>92</v>
      </c>
      <c r="E66" s="92">
        <v>90</v>
      </c>
      <c r="G66"/>
      <c r="H66"/>
      <c r="I66"/>
      <c r="J66"/>
    </row>
    <row r="67" spans="2:10" ht="15">
      <c r="B67">
        <v>43163</v>
      </c>
      <c r="C67" s="92" t="s">
        <v>77</v>
      </c>
      <c r="D67" s="92">
        <v>83</v>
      </c>
      <c r="E67" s="92">
        <v>82</v>
      </c>
      <c r="G67"/>
      <c r="H67"/>
      <c r="I67"/>
      <c r="J67"/>
    </row>
    <row r="68" spans="2:10" ht="15">
      <c r="B68">
        <v>43164</v>
      </c>
      <c r="C68" s="92" t="s">
        <v>80</v>
      </c>
      <c r="D68" s="92">
        <v>97</v>
      </c>
      <c r="E68" s="92">
        <v>51</v>
      </c>
      <c r="G68"/>
      <c r="H68"/>
      <c r="I68"/>
      <c r="J68"/>
    </row>
    <row r="69" spans="2:10" ht="15">
      <c r="B69">
        <v>43165</v>
      </c>
      <c r="C69" s="92" t="s">
        <v>77</v>
      </c>
      <c r="D69" s="92">
        <v>82</v>
      </c>
      <c r="E69" s="92">
        <v>35</v>
      </c>
      <c r="G69"/>
      <c r="H69"/>
      <c r="I69"/>
      <c r="J69"/>
    </row>
    <row r="70" spans="2:10" ht="15">
      <c r="B70">
        <v>43166</v>
      </c>
      <c r="C70" s="92" t="s">
        <v>77</v>
      </c>
      <c r="D70" s="92">
        <v>86</v>
      </c>
      <c r="E70" s="92">
        <v>80</v>
      </c>
      <c r="G70"/>
      <c r="H70"/>
      <c r="I70"/>
      <c r="J70"/>
    </row>
    <row r="71" spans="2:10" ht="15">
      <c r="B71">
        <v>43167</v>
      </c>
      <c r="C71" s="92" t="s">
        <v>78</v>
      </c>
      <c r="D71" s="92">
        <v>98</v>
      </c>
      <c r="E71" s="92">
        <v>47</v>
      </c>
      <c r="G71"/>
      <c r="H71"/>
      <c r="I71"/>
      <c r="J71"/>
    </row>
    <row r="72" spans="2:10" ht="15">
      <c r="B72">
        <v>43168</v>
      </c>
      <c r="C72" s="92" t="s">
        <v>78</v>
      </c>
      <c r="D72" s="92">
        <v>86</v>
      </c>
      <c r="E72" s="92">
        <v>50</v>
      </c>
      <c r="G72"/>
      <c r="H72"/>
      <c r="I72"/>
      <c r="J72"/>
    </row>
    <row r="73" spans="2:10" ht="15">
      <c r="B73">
        <v>43169</v>
      </c>
      <c r="C73" s="92" t="s">
        <v>78</v>
      </c>
      <c r="D73" s="92">
        <v>88</v>
      </c>
      <c r="E73" s="92">
        <v>83</v>
      </c>
      <c r="G73"/>
      <c r="H73"/>
      <c r="I73"/>
      <c r="J73"/>
    </row>
    <row r="74" spans="2:10" ht="15">
      <c r="B74">
        <v>43170</v>
      </c>
      <c r="C74" s="92" t="s">
        <v>78</v>
      </c>
      <c r="D74" s="92">
        <v>81</v>
      </c>
      <c r="E74" s="92">
        <v>73</v>
      </c>
      <c r="G74"/>
      <c r="H74"/>
      <c r="I74"/>
      <c r="J74"/>
    </row>
    <row r="75" spans="2:10" ht="15">
      <c r="B75">
        <v>43171</v>
      </c>
      <c r="C75" s="92" t="s">
        <v>79</v>
      </c>
      <c r="D75" s="92">
        <v>25</v>
      </c>
      <c r="E75" s="92">
        <v>81</v>
      </c>
      <c r="G75"/>
      <c r="H75"/>
      <c r="I75"/>
      <c r="J75"/>
    </row>
    <row r="76" spans="2:10" ht="15">
      <c r="B76">
        <v>43172</v>
      </c>
      <c r="C76" s="92" t="s">
        <v>77</v>
      </c>
      <c r="D76" s="92">
        <v>97</v>
      </c>
      <c r="E76" s="92">
        <v>58</v>
      </c>
      <c r="G76"/>
      <c r="H76"/>
      <c r="I76"/>
      <c r="J76"/>
    </row>
    <row r="77" spans="2:10" ht="15">
      <c r="B77">
        <v>43173</v>
      </c>
      <c r="C77" s="92" t="s">
        <v>77</v>
      </c>
      <c r="D77" s="92">
        <v>46</v>
      </c>
      <c r="E77" s="92">
        <v>49</v>
      </c>
      <c r="G77"/>
      <c r="H77"/>
      <c r="I77"/>
      <c r="J77"/>
    </row>
    <row r="78" spans="2:10" ht="15">
      <c r="B78">
        <v>43174</v>
      </c>
      <c r="C78" s="92" t="s">
        <v>80</v>
      </c>
      <c r="D78" s="92">
        <v>52</v>
      </c>
      <c r="E78" s="92">
        <v>56</v>
      </c>
      <c r="G78"/>
      <c r="H78"/>
      <c r="I78"/>
      <c r="J78"/>
    </row>
    <row r="79" spans="2:10" ht="15">
      <c r="B79">
        <v>43175</v>
      </c>
      <c r="C79" s="92" t="s">
        <v>79</v>
      </c>
      <c r="D79" s="92">
        <v>96</v>
      </c>
      <c r="E79" s="92">
        <v>48</v>
      </c>
      <c r="G79"/>
      <c r="H79"/>
      <c r="I79"/>
      <c r="J79"/>
    </row>
    <row r="80" spans="2:10" ht="15">
      <c r="B80">
        <v>43176</v>
      </c>
      <c r="C80" s="92" t="s">
        <v>80</v>
      </c>
      <c r="D80" s="92">
        <v>85</v>
      </c>
      <c r="E80" s="92">
        <v>90</v>
      </c>
      <c r="G80"/>
      <c r="H80"/>
      <c r="I80"/>
      <c r="J80"/>
    </row>
    <row r="81" spans="2:10" ht="15">
      <c r="B81">
        <v>43177</v>
      </c>
      <c r="C81" s="92" t="s">
        <v>78</v>
      </c>
      <c r="D81" s="92">
        <v>67</v>
      </c>
      <c r="E81" s="92">
        <v>47</v>
      </c>
      <c r="G81"/>
      <c r="H81"/>
      <c r="I81"/>
      <c r="J81"/>
    </row>
    <row r="82" spans="2:10" ht="15">
      <c r="B82">
        <v>43178</v>
      </c>
      <c r="C82" s="92" t="s">
        <v>79</v>
      </c>
      <c r="D82" s="92">
        <v>29</v>
      </c>
      <c r="E82" s="92">
        <v>81</v>
      </c>
      <c r="G82"/>
      <c r="H82"/>
      <c r="I82"/>
      <c r="J82"/>
    </row>
    <row r="83" spans="2:10" ht="15">
      <c r="B83">
        <v>43179</v>
      </c>
      <c r="C83" s="92" t="s">
        <v>78</v>
      </c>
      <c r="D83" s="92">
        <v>35</v>
      </c>
      <c r="E83" s="92">
        <v>47</v>
      </c>
      <c r="G83"/>
      <c r="H83"/>
      <c r="I83"/>
      <c r="J83"/>
    </row>
    <row r="84" spans="2:10" ht="15">
      <c r="B84">
        <v>43180</v>
      </c>
      <c r="C84" s="92" t="s">
        <v>80</v>
      </c>
      <c r="D84" s="92">
        <v>32</v>
      </c>
      <c r="E84" s="92">
        <v>33</v>
      </c>
      <c r="G84"/>
      <c r="H84"/>
      <c r="I84"/>
      <c r="J84"/>
    </row>
    <row r="85" spans="2:10" ht="15">
      <c r="B85">
        <v>43181</v>
      </c>
      <c r="C85" s="92" t="s">
        <v>78</v>
      </c>
      <c r="D85" s="92">
        <v>47</v>
      </c>
      <c r="E85" s="92">
        <v>30</v>
      </c>
      <c r="G85"/>
      <c r="H85"/>
      <c r="I85"/>
      <c r="J85"/>
    </row>
    <row r="86" spans="2:10" ht="15">
      <c r="B86">
        <v>43182</v>
      </c>
      <c r="C86" s="92" t="s">
        <v>77</v>
      </c>
      <c r="D86" s="92">
        <v>53</v>
      </c>
      <c r="E86" s="92">
        <v>37</v>
      </c>
      <c r="G86"/>
      <c r="H86"/>
      <c r="I86"/>
      <c r="J86"/>
    </row>
    <row r="87" spans="2:10" ht="15">
      <c r="B87">
        <v>43183</v>
      </c>
      <c r="C87" s="92" t="s">
        <v>77</v>
      </c>
      <c r="D87" s="92">
        <v>39</v>
      </c>
      <c r="E87" s="92">
        <v>89</v>
      </c>
      <c r="G87"/>
      <c r="H87"/>
      <c r="I87"/>
      <c r="J87"/>
    </row>
    <row r="88" spans="2:10" ht="15">
      <c r="B88">
        <v>43184</v>
      </c>
      <c r="C88" s="92" t="s">
        <v>79</v>
      </c>
      <c r="D88" s="92">
        <v>39</v>
      </c>
      <c r="E88" s="92">
        <v>61</v>
      </c>
      <c r="G88"/>
      <c r="H88"/>
      <c r="I88"/>
      <c r="J88"/>
    </row>
    <row r="89" spans="2:10" ht="15">
      <c r="B89">
        <v>43185</v>
      </c>
      <c r="C89" s="92" t="s">
        <v>80</v>
      </c>
      <c r="D89" s="92">
        <v>37</v>
      </c>
      <c r="E89" s="92">
        <v>59</v>
      </c>
      <c r="G89"/>
      <c r="H89"/>
      <c r="I89"/>
      <c r="J89"/>
    </row>
    <row r="90" spans="2:10" ht="15">
      <c r="B90">
        <v>43186</v>
      </c>
      <c r="C90" s="92" t="s">
        <v>80</v>
      </c>
      <c r="D90" s="92">
        <v>58</v>
      </c>
      <c r="E90" s="92">
        <v>58</v>
      </c>
      <c r="G90"/>
      <c r="H90"/>
      <c r="I90"/>
      <c r="J90"/>
    </row>
    <row r="91" spans="2:10" ht="15">
      <c r="B91">
        <v>43187</v>
      </c>
      <c r="C91" s="92" t="s">
        <v>78</v>
      </c>
      <c r="D91" s="92">
        <v>44</v>
      </c>
      <c r="E91" s="92">
        <v>81</v>
      </c>
      <c r="G91"/>
      <c r="H91"/>
      <c r="I91"/>
      <c r="J91"/>
    </row>
    <row r="92" spans="2:10" ht="15">
      <c r="B92">
        <v>43188</v>
      </c>
      <c r="C92" s="92" t="s">
        <v>79</v>
      </c>
      <c r="D92" s="92">
        <v>41</v>
      </c>
      <c r="E92" s="92">
        <v>89</v>
      </c>
      <c r="G92"/>
      <c r="H92"/>
      <c r="I92"/>
      <c r="J92"/>
    </row>
    <row r="93" spans="2:10" ht="15">
      <c r="B93">
        <v>43189</v>
      </c>
      <c r="C93" s="92" t="s">
        <v>78</v>
      </c>
      <c r="D93" s="92">
        <v>45</v>
      </c>
      <c r="E93" s="92">
        <v>29</v>
      </c>
      <c r="G93"/>
      <c r="H93"/>
      <c r="I93"/>
      <c r="J93"/>
    </row>
    <row r="94" spans="2:10" ht="15">
      <c r="B94">
        <v>43190</v>
      </c>
      <c r="C94" s="92" t="s">
        <v>78</v>
      </c>
      <c r="D94" s="92">
        <v>31</v>
      </c>
      <c r="E94" s="92">
        <v>89</v>
      </c>
      <c r="G94"/>
      <c r="H94"/>
      <c r="I94"/>
      <c r="J94"/>
    </row>
    <row r="95" spans="2:10" ht="15">
      <c r="B95">
        <v>43191</v>
      </c>
      <c r="C95" s="92" t="s">
        <v>77</v>
      </c>
      <c r="D95" s="92">
        <v>52</v>
      </c>
      <c r="E95" s="92">
        <v>63</v>
      </c>
      <c r="G95"/>
      <c r="H95"/>
      <c r="I95"/>
      <c r="J95"/>
    </row>
    <row r="96" spans="2:10" ht="15">
      <c r="B96">
        <v>43192</v>
      </c>
      <c r="C96" s="92" t="s">
        <v>77</v>
      </c>
      <c r="D96" s="92">
        <v>96</v>
      </c>
      <c r="E96" s="92">
        <v>41</v>
      </c>
      <c r="G96"/>
      <c r="H96"/>
      <c r="I96"/>
      <c r="J96"/>
    </row>
    <row r="97" spans="2:10" ht="15">
      <c r="B97">
        <v>43193</v>
      </c>
      <c r="C97" s="92" t="s">
        <v>80</v>
      </c>
      <c r="D97" s="92">
        <v>55</v>
      </c>
      <c r="E97" s="92">
        <v>49</v>
      </c>
      <c r="G97"/>
      <c r="H97"/>
      <c r="I97"/>
      <c r="J97"/>
    </row>
    <row r="98" spans="2:10" ht="15">
      <c r="B98">
        <v>43194</v>
      </c>
      <c r="C98" s="92" t="s">
        <v>77</v>
      </c>
      <c r="D98" s="92">
        <v>73</v>
      </c>
      <c r="E98" s="92">
        <v>95</v>
      </c>
      <c r="G98"/>
      <c r="H98"/>
      <c r="I98"/>
      <c r="J98"/>
    </row>
    <row r="99" spans="2:10" ht="15">
      <c r="B99">
        <v>43195</v>
      </c>
      <c r="C99" s="92" t="s">
        <v>78</v>
      </c>
      <c r="D99" s="92">
        <v>60</v>
      </c>
      <c r="E99" s="92">
        <v>99</v>
      </c>
      <c r="G99"/>
      <c r="H99"/>
      <c r="I99"/>
      <c r="J99"/>
    </row>
    <row r="100" spans="2:10" ht="15">
      <c r="B100">
        <v>43196</v>
      </c>
      <c r="C100" s="92" t="s">
        <v>77</v>
      </c>
      <c r="D100" s="92">
        <v>59</v>
      </c>
      <c r="E100" s="92">
        <v>36</v>
      </c>
      <c r="G100"/>
      <c r="H100"/>
      <c r="I100"/>
      <c r="J100"/>
    </row>
    <row r="101" spans="2:10" ht="15">
      <c r="B101">
        <v>43197</v>
      </c>
      <c r="C101" s="92" t="s">
        <v>78</v>
      </c>
      <c r="D101" s="92">
        <v>60</v>
      </c>
      <c r="E101" s="92">
        <v>26</v>
      </c>
      <c r="G101"/>
      <c r="H101"/>
      <c r="I101"/>
      <c r="J101"/>
    </row>
    <row r="102" spans="2:10" ht="15">
      <c r="B102">
        <v>43198</v>
      </c>
      <c r="C102" s="92" t="s">
        <v>77</v>
      </c>
      <c r="D102" s="92">
        <v>53</v>
      </c>
      <c r="E102" s="92">
        <v>86</v>
      </c>
      <c r="G102"/>
      <c r="H102"/>
      <c r="I102"/>
      <c r="J102"/>
    </row>
    <row r="103" spans="2:10" ht="15">
      <c r="B103">
        <v>43199</v>
      </c>
      <c r="C103" s="92" t="s">
        <v>78</v>
      </c>
      <c r="D103" s="92">
        <v>55</v>
      </c>
      <c r="E103" s="92">
        <v>79</v>
      </c>
      <c r="G103"/>
      <c r="H103"/>
      <c r="I103"/>
      <c r="J103"/>
    </row>
    <row r="104" spans="2:10" ht="15">
      <c r="B104">
        <v>43200</v>
      </c>
      <c r="C104" s="92" t="s">
        <v>77</v>
      </c>
      <c r="D104" s="92">
        <v>59</v>
      </c>
      <c r="E104" s="92">
        <v>58</v>
      </c>
      <c r="G104"/>
      <c r="H104"/>
      <c r="I104"/>
      <c r="J104"/>
    </row>
    <row r="105" spans="2:10" ht="15">
      <c r="B105">
        <v>43201</v>
      </c>
      <c r="C105" s="92" t="s">
        <v>79</v>
      </c>
      <c r="D105" s="92">
        <v>54</v>
      </c>
      <c r="E105" s="92">
        <v>95</v>
      </c>
      <c r="G105"/>
      <c r="H105"/>
      <c r="I105"/>
      <c r="J105"/>
    </row>
    <row r="106" spans="2:10" ht="15">
      <c r="B106">
        <v>43202</v>
      </c>
      <c r="C106" s="92" t="s">
        <v>77</v>
      </c>
      <c r="D106" s="92">
        <v>36</v>
      </c>
      <c r="E106" s="92">
        <v>75</v>
      </c>
      <c r="G106"/>
      <c r="H106"/>
      <c r="I106"/>
      <c r="J106"/>
    </row>
    <row r="107" spans="2:10" ht="15">
      <c r="B107">
        <v>43203</v>
      </c>
      <c r="C107" s="92" t="s">
        <v>77</v>
      </c>
      <c r="D107" s="92">
        <v>98</v>
      </c>
      <c r="E107" s="92">
        <v>37</v>
      </c>
      <c r="G107"/>
      <c r="H107"/>
      <c r="I107"/>
      <c r="J107"/>
    </row>
    <row r="108" spans="2:10" ht="15">
      <c r="B108">
        <v>43204</v>
      </c>
      <c r="C108" s="92" t="s">
        <v>77</v>
      </c>
      <c r="D108" s="92">
        <v>62</v>
      </c>
      <c r="E108" s="92">
        <v>44</v>
      </c>
      <c r="G108"/>
      <c r="H108"/>
      <c r="I108"/>
      <c r="J108"/>
    </row>
    <row r="109" spans="2:10" ht="15">
      <c r="B109">
        <v>43205</v>
      </c>
      <c r="C109" s="92" t="s">
        <v>77</v>
      </c>
      <c r="D109" s="92">
        <v>62</v>
      </c>
      <c r="E109" s="92">
        <v>83</v>
      </c>
      <c r="G109"/>
      <c r="H109"/>
      <c r="I109"/>
      <c r="J109"/>
    </row>
    <row r="110" spans="2:10" ht="15">
      <c r="B110">
        <v>43206</v>
      </c>
      <c r="C110" s="92" t="s">
        <v>77</v>
      </c>
      <c r="D110" s="92">
        <v>82</v>
      </c>
      <c r="E110" s="92">
        <v>50</v>
      </c>
      <c r="G110"/>
      <c r="H110"/>
      <c r="I110"/>
      <c r="J110"/>
    </row>
    <row r="111" spans="2:10" ht="15">
      <c r="B111">
        <v>43207</v>
      </c>
      <c r="C111" s="92" t="s">
        <v>79</v>
      </c>
      <c r="D111" s="92">
        <v>31</v>
      </c>
      <c r="E111" s="92">
        <v>57</v>
      </c>
      <c r="G111"/>
      <c r="H111"/>
      <c r="I111"/>
      <c r="J111"/>
    </row>
    <row r="112" spans="2:10" ht="15">
      <c r="B112">
        <v>43208</v>
      </c>
      <c r="C112" s="92" t="s">
        <v>78</v>
      </c>
      <c r="D112" s="92">
        <v>81</v>
      </c>
      <c r="E112" s="92">
        <v>89</v>
      </c>
      <c r="G112"/>
      <c r="H112"/>
      <c r="I112"/>
      <c r="J112"/>
    </row>
    <row r="113" spans="2:10" ht="15">
      <c r="B113">
        <v>43209</v>
      </c>
      <c r="C113" s="92" t="s">
        <v>79</v>
      </c>
      <c r="D113" s="92">
        <v>99</v>
      </c>
      <c r="E113" s="92">
        <v>66</v>
      </c>
      <c r="G113"/>
      <c r="H113"/>
      <c r="I113"/>
      <c r="J113"/>
    </row>
    <row r="114" spans="2:10" ht="15">
      <c r="B114">
        <v>43210</v>
      </c>
      <c r="C114" s="92" t="s">
        <v>78</v>
      </c>
      <c r="D114" s="92">
        <v>65</v>
      </c>
      <c r="E114" s="92">
        <v>34</v>
      </c>
      <c r="G114"/>
      <c r="H114"/>
      <c r="I114"/>
      <c r="J114"/>
    </row>
    <row r="115" spans="2:10" ht="15">
      <c r="B115">
        <v>43211</v>
      </c>
      <c r="C115" s="92" t="s">
        <v>78</v>
      </c>
      <c r="D115" s="92">
        <v>63</v>
      </c>
      <c r="E115" s="92">
        <v>64</v>
      </c>
      <c r="G115"/>
      <c r="H115"/>
      <c r="I115"/>
      <c r="J115"/>
    </row>
    <row r="116" spans="2:10" ht="15">
      <c r="B116">
        <v>43212</v>
      </c>
      <c r="C116" s="92" t="s">
        <v>78</v>
      </c>
      <c r="D116" s="92">
        <v>85</v>
      </c>
      <c r="E116" s="92">
        <v>75</v>
      </c>
      <c r="G116"/>
      <c r="H116"/>
      <c r="I116"/>
      <c r="J116"/>
    </row>
    <row r="117" spans="2:10" ht="15">
      <c r="B117">
        <v>43213</v>
      </c>
      <c r="C117" s="92" t="s">
        <v>77</v>
      </c>
      <c r="D117" s="92">
        <v>40</v>
      </c>
      <c r="E117" s="92">
        <v>93</v>
      </c>
      <c r="G117"/>
      <c r="H117"/>
      <c r="I117"/>
      <c r="J117"/>
    </row>
    <row r="118" spans="2:10" ht="15">
      <c r="B118">
        <v>43214</v>
      </c>
      <c r="C118" s="92" t="s">
        <v>80</v>
      </c>
      <c r="D118" s="92">
        <v>36</v>
      </c>
      <c r="E118" s="92">
        <v>35</v>
      </c>
      <c r="G118"/>
      <c r="H118"/>
      <c r="I118"/>
      <c r="J118"/>
    </row>
    <row r="119" spans="2:10" ht="15">
      <c r="B119">
        <v>43215</v>
      </c>
      <c r="C119" s="92" t="s">
        <v>79</v>
      </c>
      <c r="D119" s="92">
        <v>66</v>
      </c>
      <c r="E119" s="92">
        <v>71</v>
      </c>
      <c r="G119"/>
      <c r="H119"/>
      <c r="I119"/>
      <c r="J119"/>
    </row>
    <row r="120" spans="2:10" ht="15">
      <c r="B120">
        <v>43216</v>
      </c>
      <c r="C120" s="92" t="s">
        <v>77</v>
      </c>
      <c r="D120" s="92">
        <v>82</v>
      </c>
      <c r="E120" s="92">
        <v>75</v>
      </c>
      <c r="G120"/>
      <c r="H120"/>
      <c r="I120"/>
      <c r="J120"/>
    </row>
    <row r="121" spans="2:10" ht="15">
      <c r="B121">
        <v>43217</v>
      </c>
      <c r="C121" s="92" t="s">
        <v>79</v>
      </c>
      <c r="D121" s="92">
        <v>67</v>
      </c>
      <c r="E121" s="92">
        <v>61</v>
      </c>
      <c r="G121"/>
      <c r="H121"/>
      <c r="I121"/>
      <c r="J121"/>
    </row>
    <row r="122" spans="2:10" ht="15">
      <c r="B122">
        <v>43218</v>
      </c>
      <c r="C122" s="92" t="s">
        <v>79</v>
      </c>
      <c r="D122" s="92">
        <v>27</v>
      </c>
      <c r="E122" s="92">
        <v>67</v>
      </c>
      <c r="G122"/>
      <c r="H122"/>
      <c r="I122"/>
      <c r="J122"/>
    </row>
    <row r="123" spans="2:10" ht="15">
      <c r="B123">
        <v>43219</v>
      </c>
      <c r="C123" s="92" t="s">
        <v>78</v>
      </c>
      <c r="D123" s="92">
        <v>34</v>
      </c>
      <c r="E123" s="92">
        <v>40</v>
      </c>
      <c r="G123"/>
      <c r="H123"/>
      <c r="I123"/>
      <c r="J123"/>
    </row>
    <row r="124" spans="2:10" ht="15">
      <c r="B124">
        <v>43220</v>
      </c>
      <c r="C124" s="92" t="s">
        <v>80</v>
      </c>
      <c r="D124" s="92">
        <v>51</v>
      </c>
      <c r="E124" s="92">
        <v>68</v>
      </c>
      <c r="G124"/>
      <c r="H124"/>
      <c r="I124"/>
      <c r="J124"/>
    </row>
    <row r="125" spans="2:10" ht="15">
      <c r="B125">
        <v>43221</v>
      </c>
      <c r="C125" s="92" t="s">
        <v>77</v>
      </c>
      <c r="D125" s="92">
        <v>81</v>
      </c>
      <c r="E125" s="92">
        <v>81</v>
      </c>
      <c r="G125"/>
      <c r="H125"/>
      <c r="I125"/>
      <c r="J125"/>
    </row>
    <row r="126" spans="2:10" ht="15">
      <c r="B126">
        <v>43222</v>
      </c>
      <c r="C126" s="92" t="s">
        <v>80</v>
      </c>
      <c r="D126" s="92">
        <v>42</v>
      </c>
      <c r="E126" s="92">
        <v>89</v>
      </c>
      <c r="G126"/>
      <c r="H126"/>
      <c r="I126"/>
      <c r="J126"/>
    </row>
    <row r="127" spans="2:10" ht="15">
      <c r="B127">
        <v>43223</v>
      </c>
      <c r="C127" s="92" t="s">
        <v>79</v>
      </c>
      <c r="D127" s="92">
        <v>100</v>
      </c>
      <c r="E127" s="92">
        <v>55</v>
      </c>
      <c r="G127"/>
      <c r="H127"/>
      <c r="I127"/>
      <c r="J127"/>
    </row>
    <row r="128" spans="2:10" ht="15">
      <c r="B128">
        <v>43224</v>
      </c>
      <c r="C128" s="92" t="s">
        <v>80</v>
      </c>
      <c r="D128" s="92">
        <v>80</v>
      </c>
      <c r="E128" s="92">
        <v>77</v>
      </c>
      <c r="G128"/>
      <c r="H128"/>
      <c r="I128"/>
      <c r="J128"/>
    </row>
    <row r="129" spans="2:10" ht="15">
      <c r="B129">
        <v>43225</v>
      </c>
      <c r="C129" s="92" t="s">
        <v>78</v>
      </c>
      <c r="D129" s="92">
        <v>62</v>
      </c>
      <c r="E129" s="92">
        <v>38</v>
      </c>
      <c r="G129"/>
      <c r="H129"/>
      <c r="I129"/>
      <c r="J129"/>
    </row>
    <row r="130" spans="2:10" ht="15">
      <c r="B130">
        <v>43226</v>
      </c>
      <c r="C130" s="92" t="s">
        <v>77</v>
      </c>
      <c r="D130" s="92">
        <v>56</v>
      </c>
      <c r="E130" s="92">
        <v>60</v>
      </c>
      <c r="G130"/>
      <c r="H130"/>
      <c r="I130"/>
      <c r="J130"/>
    </row>
    <row r="131" spans="2:10" ht="15">
      <c r="B131">
        <v>43227</v>
      </c>
      <c r="C131" s="92" t="s">
        <v>78</v>
      </c>
      <c r="D131" s="92">
        <v>47</v>
      </c>
      <c r="E131" s="92">
        <v>88</v>
      </c>
      <c r="G131"/>
      <c r="H131"/>
      <c r="I131"/>
      <c r="J131"/>
    </row>
    <row r="132" spans="2:10" ht="15">
      <c r="B132">
        <v>43228</v>
      </c>
      <c r="C132" s="92" t="s">
        <v>77</v>
      </c>
      <c r="D132" s="92">
        <v>67</v>
      </c>
      <c r="E132" s="92">
        <v>70</v>
      </c>
      <c r="G132"/>
      <c r="H132"/>
      <c r="I132"/>
      <c r="J132"/>
    </row>
    <row r="133" spans="2:10" ht="15">
      <c r="B133">
        <v>43229</v>
      </c>
      <c r="C133" s="92" t="s">
        <v>77</v>
      </c>
      <c r="D133" s="92">
        <v>70</v>
      </c>
      <c r="E133" s="92">
        <v>97</v>
      </c>
      <c r="G133"/>
      <c r="H133"/>
      <c r="I133"/>
      <c r="J133"/>
    </row>
    <row r="134" spans="2:10" ht="15">
      <c r="B134">
        <v>43230</v>
      </c>
      <c r="C134" s="92" t="s">
        <v>80</v>
      </c>
      <c r="D134" s="92">
        <v>48</v>
      </c>
      <c r="E134" s="92">
        <v>26</v>
      </c>
      <c r="G134"/>
      <c r="H134"/>
      <c r="I134"/>
      <c r="J134"/>
    </row>
    <row r="135" spans="2:10" ht="15">
      <c r="B135">
        <v>43231</v>
      </c>
      <c r="C135" s="92" t="s">
        <v>78</v>
      </c>
      <c r="D135" s="92">
        <v>63</v>
      </c>
      <c r="E135" s="92">
        <v>71</v>
      </c>
      <c r="G135"/>
      <c r="H135"/>
      <c r="I135"/>
      <c r="J135"/>
    </row>
    <row r="136" spans="2:10" ht="15">
      <c r="B136">
        <v>43232</v>
      </c>
      <c r="C136" s="92" t="s">
        <v>80</v>
      </c>
      <c r="D136" s="92">
        <v>45</v>
      </c>
      <c r="E136" s="92">
        <v>59</v>
      </c>
      <c r="G136"/>
      <c r="H136"/>
      <c r="I136"/>
      <c r="J136"/>
    </row>
    <row r="137" spans="2:10" ht="15">
      <c r="B137">
        <v>43233</v>
      </c>
      <c r="C137" s="92" t="s">
        <v>80</v>
      </c>
      <c r="D137" s="92">
        <v>94</v>
      </c>
      <c r="E137" s="92">
        <v>30</v>
      </c>
      <c r="G137"/>
      <c r="H137"/>
      <c r="I137"/>
      <c r="J137"/>
    </row>
    <row r="138" spans="2:10" ht="15">
      <c r="B138">
        <v>43234</v>
      </c>
      <c r="C138" s="92" t="s">
        <v>78</v>
      </c>
      <c r="D138" s="92">
        <v>46</v>
      </c>
      <c r="E138" s="92">
        <v>47</v>
      </c>
      <c r="G138"/>
      <c r="H138"/>
      <c r="I138"/>
      <c r="J138"/>
    </row>
    <row r="139" spans="2:10" ht="15">
      <c r="B139">
        <v>43235</v>
      </c>
      <c r="C139" s="92" t="s">
        <v>79</v>
      </c>
      <c r="D139" s="92">
        <v>59</v>
      </c>
      <c r="E139" s="92">
        <v>45</v>
      </c>
      <c r="G139"/>
      <c r="H139"/>
      <c r="I139"/>
      <c r="J139"/>
    </row>
    <row r="140" spans="2:10" ht="15">
      <c r="B140">
        <v>43236</v>
      </c>
      <c r="C140" s="92" t="s">
        <v>79</v>
      </c>
      <c r="D140" s="92">
        <v>76</v>
      </c>
      <c r="E140" s="92">
        <v>46</v>
      </c>
      <c r="G140"/>
      <c r="H140"/>
      <c r="I140"/>
      <c r="J140"/>
    </row>
    <row r="141" spans="2:10" ht="15">
      <c r="B141">
        <v>43237</v>
      </c>
      <c r="C141" s="92" t="s">
        <v>78</v>
      </c>
      <c r="D141" s="92">
        <v>44</v>
      </c>
      <c r="E141" s="92">
        <v>31</v>
      </c>
      <c r="G141"/>
      <c r="H141"/>
      <c r="I141"/>
      <c r="J141"/>
    </row>
    <row r="142" spans="2:10" ht="15">
      <c r="B142">
        <v>43238</v>
      </c>
      <c r="C142" s="92" t="s">
        <v>78</v>
      </c>
      <c r="D142" s="92">
        <v>58</v>
      </c>
      <c r="E142" s="92">
        <v>61</v>
      </c>
      <c r="G142"/>
      <c r="H142"/>
      <c r="I142"/>
      <c r="J142"/>
    </row>
    <row r="143" spans="2:10" ht="15">
      <c r="B143">
        <v>43239</v>
      </c>
      <c r="C143" s="92" t="s">
        <v>80</v>
      </c>
      <c r="D143" s="92">
        <v>96</v>
      </c>
      <c r="E143" s="92">
        <v>56</v>
      </c>
      <c r="G143"/>
      <c r="H143"/>
      <c r="I143"/>
      <c r="J143"/>
    </row>
    <row r="144" spans="2:10" ht="15">
      <c r="B144">
        <v>43240</v>
      </c>
      <c r="C144" s="92" t="s">
        <v>77</v>
      </c>
      <c r="D144" s="92">
        <v>32</v>
      </c>
      <c r="E144" s="92">
        <v>28</v>
      </c>
      <c r="G144"/>
      <c r="H144"/>
      <c r="I144"/>
      <c r="J144"/>
    </row>
    <row r="145" spans="2:10" ht="15">
      <c r="B145">
        <v>43241</v>
      </c>
      <c r="C145" s="92" t="s">
        <v>80</v>
      </c>
      <c r="D145" s="92">
        <v>35</v>
      </c>
      <c r="E145" s="92">
        <v>72</v>
      </c>
      <c r="G145"/>
      <c r="H145"/>
      <c r="I145"/>
      <c r="J145"/>
    </row>
    <row r="146" spans="2:10" ht="15">
      <c r="B146">
        <v>43242</v>
      </c>
      <c r="C146" s="92" t="s">
        <v>80</v>
      </c>
      <c r="D146" s="92">
        <v>57</v>
      </c>
      <c r="E146" s="92">
        <v>67</v>
      </c>
      <c r="G146"/>
      <c r="H146"/>
      <c r="I146"/>
      <c r="J146"/>
    </row>
    <row r="147" spans="2:10" ht="15">
      <c r="B147">
        <v>43243</v>
      </c>
      <c r="C147" s="92" t="s">
        <v>80</v>
      </c>
      <c r="D147" s="92">
        <v>71</v>
      </c>
      <c r="E147" s="92">
        <v>46</v>
      </c>
      <c r="G147"/>
      <c r="H147"/>
      <c r="I147"/>
      <c r="J147"/>
    </row>
    <row r="148" spans="2:10" ht="15">
      <c r="B148">
        <v>43244</v>
      </c>
      <c r="C148" s="92" t="s">
        <v>80</v>
      </c>
      <c r="D148" s="92">
        <v>84</v>
      </c>
      <c r="E148" s="92">
        <v>28</v>
      </c>
      <c r="G148"/>
      <c r="H148"/>
      <c r="I148"/>
      <c r="J148"/>
    </row>
    <row r="149" spans="2:10" ht="15">
      <c r="B149">
        <v>43245</v>
      </c>
      <c r="C149" s="92" t="s">
        <v>77</v>
      </c>
      <c r="D149" s="92">
        <v>94</v>
      </c>
      <c r="E149" s="92">
        <v>71</v>
      </c>
      <c r="G149"/>
      <c r="H149"/>
      <c r="I149"/>
      <c r="J149"/>
    </row>
    <row r="150" spans="2:10" ht="15">
      <c r="B150">
        <v>43246</v>
      </c>
      <c r="C150" s="92" t="s">
        <v>80</v>
      </c>
      <c r="D150" s="92">
        <v>90</v>
      </c>
      <c r="E150" s="92">
        <v>48</v>
      </c>
      <c r="G150"/>
      <c r="H150"/>
      <c r="I150"/>
      <c r="J150"/>
    </row>
    <row r="151" spans="2:10" ht="15">
      <c r="B151">
        <v>43247</v>
      </c>
      <c r="C151" s="92" t="s">
        <v>79</v>
      </c>
      <c r="D151" s="92">
        <v>58</v>
      </c>
      <c r="E151" s="92">
        <v>89</v>
      </c>
      <c r="G151"/>
      <c r="H151"/>
      <c r="I151"/>
      <c r="J151"/>
    </row>
    <row r="152" spans="2:10" ht="15">
      <c r="B152">
        <v>43248</v>
      </c>
      <c r="C152" s="92" t="s">
        <v>79</v>
      </c>
      <c r="D152" s="92">
        <v>83</v>
      </c>
      <c r="E152" s="92">
        <v>33</v>
      </c>
      <c r="G152"/>
      <c r="H152"/>
      <c r="I152"/>
      <c r="J152"/>
    </row>
    <row r="153" spans="2:10" ht="15">
      <c r="B153">
        <v>43249</v>
      </c>
      <c r="C153" s="92" t="s">
        <v>79</v>
      </c>
      <c r="D153" s="92">
        <v>84</v>
      </c>
      <c r="E153" s="92">
        <v>41</v>
      </c>
      <c r="G153"/>
      <c r="H153"/>
      <c r="I153"/>
      <c r="J153"/>
    </row>
    <row r="154" spans="2:10" ht="15">
      <c r="B154">
        <v>43250</v>
      </c>
      <c r="C154" s="92" t="s">
        <v>79</v>
      </c>
      <c r="D154" s="92">
        <v>39</v>
      </c>
      <c r="E154" s="92">
        <v>25</v>
      </c>
      <c r="G154"/>
      <c r="H154"/>
      <c r="I154"/>
      <c r="J154"/>
    </row>
    <row r="155" spans="2:10" ht="15">
      <c r="B155">
        <v>43251</v>
      </c>
      <c r="C155" s="92" t="s">
        <v>78</v>
      </c>
      <c r="D155" s="92">
        <v>74</v>
      </c>
      <c r="E155" s="92">
        <v>42</v>
      </c>
      <c r="G155"/>
      <c r="H155"/>
      <c r="I155"/>
      <c r="J155"/>
    </row>
    <row r="156" spans="2:10" ht="15">
      <c r="B156">
        <v>43252</v>
      </c>
      <c r="C156" s="92" t="s">
        <v>80</v>
      </c>
      <c r="D156" s="92">
        <v>61</v>
      </c>
      <c r="E156" s="92">
        <v>53</v>
      </c>
      <c r="G156"/>
      <c r="H156"/>
      <c r="I156"/>
      <c r="J156"/>
    </row>
    <row r="157" spans="2:10" ht="15">
      <c r="B157">
        <v>43253</v>
      </c>
      <c r="C157" s="92" t="s">
        <v>80</v>
      </c>
      <c r="D157" s="92">
        <v>32</v>
      </c>
      <c r="E157" s="92">
        <v>81</v>
      </c>
      <c r="G157"/>
      <c r="H157"/>
      <c r="I157"/>
      <c r="J157"/>
    </row>
    <row r="158" spans="2:10" ht="15">
      <c r="B158">
        <v>43254</v>
      </c>
      <c r="C158" s="92" t="s">
        <v>80</v>
      </c>
      <c r="D158" s="92">
        <v>32</v>
      </c>
      <c r="E158" s="92">
        <v>60</v>
      </c>
      <c r="G158"/>
      <c r="H158"/>
      <c r="I158"/>
      <c r="J158"/>
    </row>
    <row r="159" spans="2:10" ht="15">
      <c r="B159">
        <v>43255</v>
      </c>
      <c r="C159" s="92" t="s">
        <v>78</v>
      </c>
      <c r="D159" s="92">
        <v>64</v>
      </c>
      <c r="E159" s="92">
        <v>54</v>
      </c>
      <c r="G159"/>
      <c r="H159"/>
      <c r="I159"/>
      <c r="J159"/>
    </row>
    <row r="160" spans="2:10" ht="15">
      <c r="B160">
        <v>43256</v>
      </c>
      <c r="C160" s="92" t="s">
        <v>78</v>
      </c>
      <c r="D160" s="92">
        <v>69</v>
      </c>
      <c r="E160" s="92">
        <v>93</v>
      </c>
      <c r="G160"/>
      <c r="H160"/>
      <c r="I160"/>
      <c r="J160"/>
    </row>
    <row r="161" spans="2:10" ht="15">
      <c r="B161">
        <v>43257</v>
      </c>
      <c r="C161" s="92" t="s">
        <v>78</v>
      </c>
      <c r="D161" s="92">
        <v>84</v>
      </c>
      <c r="E161" s="92">
        <v>51</v>
      </c>
      <c r="G161"/>
      <c r="H161"/>
      <c r="I161"/>
      <c r="J161"/>
    </row>
    <row r="162" spans="2:10" ht="15">
      <c r="B162">
        <v>43258</v>
      </c>
      <c r="C162" s="92" t="s">
        <v>78</v>
      </c>
      <c r="D162" s="92">
        <v>69</v>
      </c>
      <c r="E162" s="92">
        <v>40</v>
      </c>
      <c r="G162"/>
      <c r="H162"/>
      <c r="I162"/>
      <c r="J162"/>
    </row>
    <row r="163" spans="2:10" ht="15">
      <c r="B163">
        <v>43259</v>
      </c>
      <c r="C163" s="92" t="s">
        <v>78</v>
      </c>
      <c r="D163" s="92">
        <v>38</v>
      </c>
      <c r="E163" s="92">
        <v>39</v>
      </c>
      <c r="G163"/>
      <c r="H163"/>
      <c r="I163"/>
      <c r="J163"/>
    </row>
    <row r="164" spans="2:10" ht="15">
      <c r="B164">
        <v>43260</v>
      </c>
      <c r="C164" s="92" t="s">
        <v>79</v>
      </c>
      <c r="D164" s="92">
        <v>57</v>
      </c>
      <c r="E164" s="92">
        <v>62</v>
      </c>
      <c r="G164"/>
      <c r="H164"/>
      <c r="I164"/>
      <c r="J164"/>
    </row>
    <row r="165" spans="2:10" ht="15">
      <c r="B165">
        <v>43261</v>
      </c>
      <c r="C165" s="92" t="s">
        <v>78</v>
      </c>
      <c r="D165" s="92">
        <v>97</v>
      </c>
      <c r="E165" s="92">
        <v>45</v>
      </c>
      <c r="G165"/>
      <c r="H165"/>
      <c r="I165"/>
      <c r="J165"/>
    </row>
    <row r="166" spans="2:10" ht="15">
      <c r="B166">
        <v>43262</v>
      </c>
      <c r="C166" s="92" t="s">
        <v>77</v>
      </c>
      <c r="D166" s="92">
        <v>44</v>
      </c>
      <c r="E166" s="92">
        <v>91</v>
      </c>
      <c r="G166"/>
      <c r="H166"/>
      <c r="I166"/>
      <c r="J166"/>
    </row>
    <row r="167" spans="2:10" ht="15">
      <c r="B167">
        <v>43263</v>
      </c>
      <c r="C167" s="92" t="s">
        <v>78</v>
      </c>
      <c r="D167" s="92">
        <v>89</v>
      </c>
      <c r="E167" s="92">
        <v>39</v>
      </c>
      <c r="G167"/>
      <c r="H167"/>
      <c r="I167"/>
      <c r="J167"/>
    </row>
    <row r="168" spans="2:10" ht="15">
      <c r="B168">
        <v>43264</v>
      </c>
      <c r="C168" s="92" t="s">
        <v>78</v>
      </c>
      <c r="D168" s="92">
        <v>62</v>
      </c>
      <c r="E168" s="92">
        <v>48</v>
      </c>
      <c r="G168"/>
      <c r="H168"/>
      <c r="I168"/>
      <c r="J168"/>
    </row>
    <row r="169" spans="2:10" ht="15">
      <c r="B169">
        <v>43265</v>
      </c>
      <c r="C169" s="92" t="s">
        <v>77</v>
      </c>
      <c r="D169" s="92">
        <v>90</v>
      </c>
      <c r="E169" s="92">
        <v>100</v>
      </c>
      <c r="G169"/>
      <c r="H169"/>
      <c r="I169"/>
      <c r="J169"/>
    </row>
    <row r="170" spans="2:10" ht="15">
      <c r="B170">
        <v>43266</v>
      </c>
      <c r="C170" s="92" t="s">
        <v>80</v>
      </c>
      <c r="D170" s="92">
        <v>27</v>
      </c>
      <c r="E170" s="92">
        <v>71</v>
      </c>
      <c r="G170"/>
      <c r="H170"/>
      <c r="I170"/>
      <c r="J170"/>
    </row>
    <row r="171" spans="2:10" ht="15">
      <c r="B171">
        <v>43267</v>
      </c>
      <c r="C171" s="92" t="s">
        <v>79</v>
      </c>
      <c r="D171" s="92">
        <v>93</v>
      </c>
      <c r="E171" s="92">
        <v>74</v>
      </c>
      <c r="G171"/>
      <c r="H171"/>
      <c r="I171"/>
      <c r="J171"/>
    </row>
    <row r="172" spans="2:10" ht="15">
      <c r="B172">
        <v>43268</v>
      </c>
      <c r="C172" s="92" t="s">
        <v>79</v>
      </c>
      <c r="D172" s="92">
        <v>52</v>
      </c>
      <c r="E172" s="92">
        <v>78</v>
      </c>
      <c r="G172"/>
      <c r="H172"/>
      <c r="I172"/>
      <c r="J172"/>
    </row>
    <row r="173" spans="2:10" ht="15">
      <c r="B173">
        <v>43269</v>
      </c>
      <c r="C173" s="92" t="s">
        <v>80</v>
      </c>
      <c r="D173" s="92">
        <v>57</v>
      </c>
      <c r="E173" s="92">
        <v>66</v>
      </c>
      <c r="G173"/>
      <c r="H173"/>
      <c r="I173"/>
      <c r="J173"/>
    </row>
    <row r="174" spans="2:10" ht="15">
      <c r="B174">
        <v>43270</v>
      </c>
      <c r="C174" s="92" t="s">
        <v>79</v>
      </c>
      <c r="D174" s="92">
        <v>84</v>
      </c>
      <c r="E174" s="92">
        <v>90</v>
      </c>
      <c r="G174"/>
      <c r="H174"/>
      <c r="I174"/>
      <c r="J174"/>
    </row>
    <row r="175" spans="2:10" ht="15">
      <c r="B175">
        <v>43271</v>
      </c>
      <c r="C175" s="92" t="s">
        <v>79</v>
      </c>
      <c r="D175" s="92">
        <v>59</v>
      </c>
      <c r="E175" s="92">
        <v>42</v>
      </c>
      <c r="G175"/>
      <c r="H175"/>
      <c r="I175"/>
      <c r="J175"/>
    </row>
    <row r="176" spans="2:10" ht="15">
      <c r="B176">
        <v>43272</v>
      </c>
      <c r="C176" s="92" t="s">
        <v>80</v>
      </c>
      <c r="D176" s="92">
        <v>26</v>
      </c>
      <c r="E176" s="92">
        <v>65</v>
      </c>
      <c r="G176"/>
      <c r="H176"/>
      <c r="I176"/>
      <c r="J176"/>
    </row>
    <row r="177" spans="2:10" ht="15">
      <c r="B177">
        <v>43273</v>
      </c>
      <c r="C177" s="92" t="s">
        <v>79</v>
      </c>
      <c r="D177" s="92">
        <v>92</v>
      </c>
      <c r="E177" s="92">
        <v>65</v>
      </c>
      <c r="G177"/>
      <c r="H177"/>
      <c r="I177"/>
      <c r="J177"/>
    </row>
    <row r="178" spans="2:10" ht="15">
      <c r="B178">
        <v>43274</v>
      </c>
      <c r="C178" s="92" t="s">
        <v>79</v>
      </c>
      <c r="D178" s="92">
        <v>40</v>
      </c>
      <c r="E178" s="92">
        <v>93</v>
      </c>
      <c r="G178"/>
      <c r="H178"/>
      <c r="I178"/>
      <c r="J178"/>
    </row>
    <row r="179" spans="2:10" ht="15">
      <c r="B179">
        <v>43275</v>
      </c>
      <c r="C179" s="92" t="s">
        <v>78</v>
      </c>
      <c r="D179" s="92">
        <v>84</v>
      </c>
      <c r="E179" s="92">
        <v>98</v>
      </c>
      <c r="G179"/>
      <c r="H179"/>
      <c r="I179"/>
      <c r="J179"/>
    </row>
    <row r="180" spans="2:10" ht="15">
      <c r="B180">
        <v>43276</v>
      </c>
      <c r="C180" s="92" t="s">
        <v>78</v>
      </c>
      <c r="D180" s="92">
        <v>64</v>
      </c>
      <c r="E180" s="92">
        <v>41</v>
      </c>
      <c r="G180"/>
      <c r="H180"/>
      <c r="I180"/>
      <c r="J180"/>
    </row>
    <row r="181" spans="2:10" ht="15">
      <c r="B181">
        <v>43277</v>
      </c>
      <c r="C181" s="92" t="s">
        <v>77</v>
      </c>
      <c r="D181" s="92">
        <v>47</v>
      </c>
      <c r="E181" s="92">
        <v>41</v>
      </c>
      <c r="G181"/>
      <c r="H181"/>
      <c r="I181"/>
      <c r="J181"/>
    </row>
    <row r="182" spans="2:10" ht="15">
      <c r="B182">
        <v>43278</v>
      </c>
      <c r="C182" s="92" t="s">
        <v>78</v>
      </c>
      <c r="D182" s="92">
        <v>41</v>
      </c>
      <c r="E182" s="92">
        <v>54</v>
      </c>
      <c r="G182"/>
      <c r="H182"/>
      <c r="I182"/>
      <c r="J182"/>
    </row>
    <row r="183" spans="2:10" ht="15">
      <c r="B183">
        <v>43279</v>
      </c>
      <c r="C183" s="92" t="s">
        <v>77</v>
      </c>
      <c r="D183" s="92">
        <v>61</v>
      </c>
      <c r="E183" s="92">
        <v>29</v>
      </c>
      <c r="G183"/>
      <c r="H183"/>
      <c r="I183"/>
      <c r="J183"/>
    </row>
    <row r="184" spans="2:10" ht="15">
      <c r="B184">
        <v>43280</v>
      </c>
      <c r="C184" s="92" t="s">
        <v>79</v>
      </c>
      <c r="D184" s="92">
        <v>48</v>
      </c>
      <c r="E184" s="92">
        <v>92</v>
      </c>
      <c r="G184"/>
      <c r="H184"/>
      <c r="I184"/>
      <c r="J184"/>
    </row>
    <row r="185" spans="2:10" ht="15">
      <c r="B185">
        <v>43281</v>
      </c>
      <c r="C185" s="92" t="s">
        <v>80</v>
      </c>
      <c r="D185" s="92">
        <v>37</v>
      </c>
      <c r="E185" s="92">
        <v>45</v>
      </c>
      <c r="G185"/>
      <c r="H185"/>
      <c r="I185"/>
      <c r="J185"/>
    </row>
    <row r="186" spans="2:10" ht="15">
      <c r="B186">
        <v>43282</v>
      </c>
      <c r="C186" s="92" t="s">
        <v>80</v>
      </c>
      <c r="D186" s="92">
        <v>52</v>
      </c>
      <c r="E186" s="92">
        <v>61</v>
      </c>
      <c r="G186"/>
      <c r="H186"/>
      <c r="I186"/>
      <c r="J186"/>
    </row>
    <row r="187" spans="2:10" ht="15">
      <c r="B187">
        <v>43283</v>
      </c>
      <c r="C187" s="92" t="s">
        <v>79</v>
      </c>
      <c r="D187" s="92">
        <v>29</v>
      </c>
      <c r="E187" s="92">
        <v>85</v>
      </c>
      <c r="G187"/>
      <c r="H187"/>
      <c r="I187"/>
      <c r="J187"/>
    </row>
    <row r="188" spans="2:10" ht="15">
      <c r="B188">
        <v>43284</v>
      </c>
      <c r="C188" s="92" t="s">
        <v>79</v>
      </c>
      <c r="D188" s="92">
        <v>28</v>
      </c>
      <c r="E188" s="92">
        <v>76</v>
      </c>
      <c r="G188"/>
      <c r="H188"/>
      <c r="I188"/>
      <c r="J188"/>
    </row>
    <row r="189" spans="2:10" ht="15">
      <c r="B189">
        <v>43285</v>
      </c>
      <c r="C189" s="92" t="s">
        <v>77</v>
      </c>
      <c r="D189" s="92">
        <v>52</v>
      </c>
      <c r="E189" s="92">
        <v>41</v>
      </c>
      <c r="G189"/>
      <c r="H189"/>
      <c r="I189"/>
      <c r="J189"/>
    </row>
    <row r="190" spans="2:10" ht="15">
      <c r="B190">
        <v>43286</v>
      </c>
      <c r="C190" s="92" t="s">
        <v>79</v>
      </c>
      <c r="D190" s="92">
        <v>49</v>
      </c>
      <c r="E190" s="92">
        <v>59</v>
      </c>
      <c r="G190"/>
      <c r="H190"/>
      <c r="I190"/>
      <c r="J190"/>
    </row>
    <row r="191" spans="2:10" ht="15">
      <c r="B191">
        <v>43287</v>
      </c>
      <c r="C191" s="92" t="s">
        <v>77</v>
      </c>
      <c r="D191" s="92">
        <v>91</v>
      </c>
      <c r="E191" s="92">
        <v>25</v>
      </c>
      <c r="G191"/>
      <c r="H191"/>
      <c r="I191"/>
      <c r="J191"/>
    </row>
    <row r="192" spans="2:10" ht="15">
      <c r="B192">
        <v>43288</v>
      </c>
      <c r="C192" s="92" t="s">
        <v>77</v>
      </c>
      <c r="D192" s="92">
        <v>33</v>
      </c>
      <c r="E192" s="92">
        <v>39</v>
      </c>
      <c r="G192"/>
      <c r="H192"/>
      <c r="I192"/>
      <c r="J192"/>
    </row>
    <row r="193" spans="2:10" ht="15">
      <c r="B193">
        <v>43289</v>
      </c>
      <c r="C193" s="92" t="s">
        <v>80</v>
      </c>
      <c r="D193" s="92">
        <v>68</v>
      </c>
      <c r="E193" s="92">
        <v>26</v>
      </c>
      <c r="G193"/>
      <c r="H193"/>
      <c r="I193"/>
      <c r="J193"/>
    </row>
    <row r="194" spans="2:10" ht="15">
      <c r="B194">
        <v>43290</v>
      </c>
      <c r="C194" s="92" t="s">
        <v>78</v>
      </c>
      <c r="D194" s="92">
        <v>88</v>
      </c>
      <c r="E194" s="92">
        <v>27</v>
      </c>
      <c r="G194"/>
      <c r="H194"/>
      <c r="I194"/>
      <c r="J194"/>
    </row>
    <row r="195" spans="2:10" ht="15">
      <c r="B195">
        <v>43291</v>
      </c>
      <c r="C195" s="92" t="s">
        <v>79</v>
      </c>
      <c r="D195" s="92">
        <v>63</v>
      </c>
      <c r="E195" s="92">
        <v>100</v>
      </c>
      <c r="G195"/>
      <c r="H195"/>
      <c r="I195"/>
      <c r="J195"/>
    </row>
    <row r="196" spans="2:10" ht="15">
      <c r="B196">
        <v>43292</v>
      </c>
      <c r="C196" s="92" t="s">
        <v>79</v>
      </c>
      <c r="D196" s="92">
        <v>27</v>
      </c>
      <c r="E196" s="92">
        <v>86</v>
      </c>
      <c r="G196"/>
      <c r="H196"/>
      <c r="I196"/>
      <c r="J196"/>
    </row>
    <row r="197" spans="2:10" ht="15">
      <c r="B197">
        <v>43293</v>
      </c>
      <c r="C197" s="92" t="s">
        <v>80</v>
      </c>
      <c r="D197" s="92">
        <v>88</v>
      </c>
      <c r="E197" s="92">
        <v>65</v>
      </c>
      <c r="G197"/>
      <c r="H197"/>
      <c r="I197"/>
      <c r="J197"/>
    </row>
    <row r="198" spans="2:10" ht="15">
      <c r="B198">
        <v>43294</v>
      </c>
      <c r="C198" s="92" t="s">
        <v>78</v>
      </c>
      <c r="D198" s="92">
        <v>86</v>
      </c>
      <c r="E198" s="92">
        <v>93</v>
      </c>
      <c r="G198"/>
      <c r="H198"/>
      <c r="I198"/>
      <c r="J198"/>
    </row>
    <row r="199" spans="2:10" ht="15">
      <c r="B199">
        <v>43295</v>
      </c>
      <c r="C199" s="92" t="s">
        <v>80</v>
      </c>
      <c r="D199" s="92">
        <v>54</v>
      </c>
      <c r="E199" s="92">
        <v>60</v>
      </c>
      <c r="G199"/>
      <c r="H199"/>
      <c r="I199"/>
      <c r="J199"/>
    </row>
    <row r="200" spans="2:10" ht="15">
      <c r="B200">
        <v>43296</v>
      </c>
      <c r="C200" s="92" t="s">
        <v>77</v>
      </c>
      <c r="D200" s="92">
        <v>88</v>
      </c>
      <c r="E200" s="92">
        <v>31</v>
      </c>
      <c r="G200"/>
      <c r="H200"/>
      <c r="I200"/>
      <c r="J200"/>
    </row>
    <row r="201" spans="2:10" ht="15">
      <c r="B201">
        <v>43297</v>
      </c>
      <c r="C201" s="92" t="s">
        <v>80</v>
      </c>
      <c r="D201" s="92">
        <v>97</v>
      </c>
      <c r="E201" s="92">
        <v>87</v>
      </c>
      <c r="G201"/>
      <c r="H201"/>
      <c r="I201"/>
      <c r="J201"/>
    </row>
    <row r="202" spans="2:10" ht="15">
      <c r="B202">
        <v>43298</v>
      </c>
      <c r="C202" s="92" t="s">
        <v>77</v>
      </c>
      <c r="D202" s="92">
        <v>85</v>
      </c>
      <c r="E202" s="92">
        <v>48</v>
      </c>
      <c r="G202"/>
      <c r="H202"/>
      <c r="I202"/>
      <c r="J202"/>
    </row>
    <row r="203" spans="2:10" ht="15">
      <c r="B203">
        <v>43299</v>
      </c>
      <c r="C203" s="92" t="s">
        <v>78</v>
      </c>
      <c r="D203" s="92">
        <v>25</v>
      </c>
      <c r="E203" s="92">
        <v>52</v>
      </c>
      <c r="G203"/>
      <c r="H203"/>
      <c r="I203"/>
      <c r="J203"/>
    </row>
    <row r="204" spans="2:10" ht="15">
      <c r="B204">
        <v>43300</v>
      </c>
      <c r="C204" s="92" t="s">
        <v>80</v>
      </c>
      <c r="D204" s="92">
        <v>96</v>
      </c>
      <c r="E204" s="92">
        <v>45</v>
      </c>
      <c r="G204"/>
      <c r="H204"/>
      <c r="I204"/>
      <c r="J204"/>
    </row>
    <row r="205" spans="2:10" ht="15">
      <c r="B205">
        <v>43301</v>
      </c>
      <c r="C205" s="92" t="s">
        <v>80</v>
      </c>
      <c r="D205" s="92">
        <v>63</v>
      </c>
      <c r="E205" s="92">
        <v>60</v>
      </c>
      <c r="G205"/>
      <c r="H205"/>
      <c r="I205"/>
      <c r="J205"/>
    </row>
    <row r="206" spans="2:10" ht="15">
      <c r="B206">
        <v>43302</v>
      </c>
      <c r="C206" s="92" t="s">
        <v>80</v>
      </c>
      <c r="D206" s="92">
        <v>67</v>
      </c>
      <c r="E206" s="92">
        <v>61</v>
      </c>
      <c r="G206"/>
      <c r="H206"/>
      <c r="I206"/>
      <c r="J206"/>
    </row>
    <row r="207" spans="2:10" ht="15">
      <c r="B207">
        <v>43303</v>
      </c>
      <c r="C207" s="92" t="s">
        <v>79</v>
      </c>
      <c r="D207" s="92">
        <v>28</v>
      </c>
      <c r="E207" s="92">
        <v>46</v>
      </c>
      <c r="G207"/>
      <c r="H207"/>
      <c r="I207"/>
      <c r="J207"/>
    </row>
    <row r="208" spans="2:10" ht="15">
      <c r="B208">
        <v>43304</v>
      </c>
      <c r="C208" s="92" t="s">
        <v>78</v>
      </c>
      <c r="D208" s="92">
        <v>68</v>
      </c>
      <c r="E208" s="92">
        <v>77</v>
      </c>
      <c r="G208"/>
      <c r="H208"/>
      <c r="I208"/>
      <c r="J208"/>
    </row>
    <row r="209" spans="2:10" ht="15">
      <c r="B209">
        <v>43305</v>
      </c>
      <c r="C209" s="92" t="s">
        <v>77</v>
      </c>
      <c r="D209" s="92">
        <v>83</v>
      </c>
      <c r="E209" s="92">
        <v>94</v>
      </c>
      <c r="G209"/>
      <c r="H209"/>
      <c r="I209"/>
      <c r="J209"/>
    </row>
    <row r="210" spans="2:10" ht="15">
      <c r="B210">
        <v>43306</v>
      </c>
      <c r="C210" s="92" t="s">
        <v>77</v>
      </c>
      <c r="D210" s="92">
        <v>96</v>
      </c>
      <c r="E210" s="92">
        <v>47</v>
      </c>
      <c r="G210"/>
      <c r="H210"/>
      <c r="I210"/>
      <c r="J210"/>
    </row>
    <row r="211" spans="2:10" ht="15">
      <c r="B211">
        <v>43307</v>
      </c>
      <c r="C211" s="92" t="s">
        <v>77</v>
      </c>
      <c r="D211" s="92">
        <v>62</v>
      </c>
      <c r="E211" s="92">
        <v>99</v>
      </c>
      <c r="G211"/>
      <c r="H211"/>
      <c r="I211"/>
      <c r="J211"/>
    </row>
    <row r="212" spans="2:10" ht="15">
      <c r="B212">
        <v>43308</v>
      </c>
      <c r="C212" s="92" t="s">
        <v>77</v>
      </c>
      <c r="D212" s="92">
        <v>44</v>
      </c>
      <c r="E212" s="92">
        <v>76</v>
      </c>
      <c r="G212"/>
      <c r="H212"/>
      <c r="I212"/>
      <c r="J212"/>
    </row>
    <row r="213" spans="2:10" ht="15">
      <c r="B213">
        <v>43309</v>
      </c>
      <c r="C213" s="92" t="s">
        <v>77</v>
      </c>
      <c r="D213" s="92">
        <v>30</v>
      </c>
      <c r="E213" s="92">
        <v>58</v>
      </c>
      <c r="G213"/>
      <c r="H213"/>
      <c r="I213"/>
      <c r="J213"/>
    </row>
    <row r="214" spans="2:10" ht="15">
      <c r="B214">
        <v>43310</v>
      </c>
      <c r="C214" s="92" t="s">
        <v>78</v>
      </c>
      <c r="D214" s="92">
        <v>89</v>
      </c>
      <c r="E214" s="92">
        <v>40</v>
      </c>
      <c r="G214"/>
      <c r="H214"/>
      <c r="I214"/>
      <c r="J214"/>
    </row>
    <row r="215" spans="2:10" ht="15">
      <c r="B215">
        <v>43311</v>
      </c>
      <c r="C215" s="92" t="s">
        <v>78</v>
      </c>
      <c r="D215" s="92">
        <v>72</v>
      </c>
      <c r="E215" s="92">
        <v>26</v>
      </c>
      <c r="G215"/>
      <c r="H215"/>
      <c r="I215"/>
      <c r="J215"/>
    </row>
    <row r="216" spans="2:10" ht="15">
      <c r="B216">
        <v>43312</v>
      </c>
      <c r="C216" s="92" t="s">
        <v>80</v>
      </c>
      <c r="D216" s="92">
        <v>74</v>
      </c>
      <c r="E216" s="92">
        <v>86</v>
      </c>
      <c r="G216"/>
      <c r="H216"/>
      <c r="I216"/>
      <c r="J216"/>
    </row>
    <row r="217" spans="2:10" ht="15">
      <c r="B217">
        <v>43313</v>
      </c>
      <c r="C217" s="92" t="s">
        <v>77</v>
      </c>
      <c r="D217" s="92">
        <v>40</v>
      </c>
      <c r="E217" s="92">
        <v>81</v>
      </c>
      <c r="G217"/>
      <c r="H217"/>
      <c r="I217"/>
      <c r="J217"/>
    </row>
    <row r="218" spans="2:10" ht="15">
      <c r="B218">
        <v>43314</v>
      </c>
      <c r="C218" s="92" t="s">
        <v>78</v>
      </c>
      <c r="D218" s="92">
        <v>91</v>
      </c>
      <c r="E218" s="92">
        <v>48</v>
      </c>
      <c r="G218"/>
      <c r="H218"/>
      <c r="I218"/>
      <c r="J218"/>
    </row>
    <row r="219" spans="2:10" ht="15">
      <c r="B219">
        <v>43315</v>
      </c>
      <c r="C219" s="92" t="s">
        <v>79</v>
      </c>
      <c r="D219" s="92">
        <v>25</v>
      </c>
      <c r="E219" s="92">
        <v>45</v>
      </c>
      <c r="G219"/>
      <c r="H219"/>
      <c r="I219"/>
      <c r="J219"/>
    </row>
    <row r="220" spans="2:10" ht="15">
      <c r="B220">
        <v>43316</v>
      </c>
      <c r="C220" s="92" t="s">
        <v>78</v>
      </c>
      <c r="D220" s="92">
        <v>94</v>
      </c>
      <c r="E220" s="92">
        <v>54</v>
      </c>
      <c r="G220"/>
      <c r="H220"/>
      <c r="I220"/>
      <c r="J220"/>
    </row>
    <row r="221" spans="2:10" ht="15">
      <c r="B221">
        <v>43317</v>
      </c>
      <c r="C221" s="92" t="s">
        <v>78</v>
      </c>
      <c r="D221" s="92">
        <v>42</v>
      </c>
      <c r="E221" s="92">
        <v>81</v>
      </c>
      <c r="G221"/>
      <c r="H221"/>
      <c r="I221"/>
      <c r="J221"/>
    </row>
    <row r="222" spans="2:10" ht="15">
      <c r="B222">
        <v>43318</v>
      </c>
      <c r="C222" s="92" t="s">
        <v>80</v>
      </c>
      <c r="D222" s="92">
        <v>31</v>
      </c>
      <c r="E222" s="92">
        <v>63</v>
      </c>
      <c r="G222"/>
      <c r="H222"/>
      <c r="I222"/>
      <c r="J222"/>
    </row>
    <row r="223" spans="2:10" ht="15">
      <c r="B223">
        <v>43319</v>
      </c>
      <c r="C223" s="92" t="s">
        <v>78</v>
      </c>
      <c r="D223" s="92">
        <v>68</v>
      </c>
      <c r="E223" s="92">
        <v>61</v>
      </c>
      <c r="G223"/>
      <c r="H223"/>
      <c r="I223"/>
      <c r="J223"/>
    </row>
    <row r="224" spans="2:10" ht="15">
      <c r="B224">
        <v>43320</v>
      </c>
      <c r="C224" s="92" t="s">
        <v>77</v>
      </c>
      <c r="D224" s="92">
        <v>27</v>
      </c>
      <c r="E224" s="92">
        <v>64</v>
      </c>
      <c r="G224"/>
      <c r="H224"/>
      <c r="I224"/>
      <c r="J224"/>
    </row>
    <row r="225" spans="2:10" ht="15">
      <c r="B225">
        <v>43321</v>
      </c>
      <c r="C225" s="92" t="s">
        <v>80</v>
      </c>
      <c r="D225" s="92">
        <v>26</v>
      </c>
      <c r="E225" s="92">
        <v>84</v>
      </c>
      <c r="G225"/>
      <c r="H225"/>
      <c r="I225"/>
      <c r="J225"/>
    </row>
    <row r="226" spans="2:10" ht="15">
      <c r="B226">
        <v>43322</v>
      </c>
      <c r="C226" s="92" t="s">
        <v>80</v>
      </c>
      <c r="D226" s="92">
        <v>52</v>
      </c>
      <c r="E226" s="92">
        <v>95</v>
      </c>
      <c r="G226"/>
      <c r="H226"/>
      <c r="I226"/>
      <c r="J226"/>
    </row>
    <row r="227" spans="2:10" ht="15">
      <c r="B227">
        <v>43323</v>
      </c>
      <c r="C227" s="92" t="s">
        <v>79</v>
      </c>
      <c r="D227" s="92">
        <v>78</v>
      </c>
      <c r="E227" s="92">
        <v>71</v>
      </c>
      <c r="G227"/>
      <c r="H227"/>
      <c r="I227"/>
      <c r="J227"/>
    </row>
    <row r="228" spans="2:10" ht="15">
      <c r="B228">
        <v>43324</v>
      </c>
      <c r="C228" s="92" t="s">
        <v>80</v>
      </c>
      <c r="D228" s="92">
        <v>60</v>
      </c>
      <c r="E228" s="92">
        <v>42</v>
      </c>
      <c r="G228"/>
      <c r="H228"/>
      <c r="I228"/>
      <c r="J228"/>
    </row>
    <row r="229" spans="2:10" ht="15">
      <c r="B229">
        <v>43325</v>
      </c>
      <c r="C229" s="92" t="s">
        <v>77</v>
      </c>
      <c r="D229" s="92">
        <v>90</v>
      </c>
      <c r="E229" s="92">
        <v>100</v>
      </c>
      <c r="G229"/>
      <c r="H229"/>
      <c r="I229"/>
      <c r="J229"/>
    </row>
    <row r="230" spans="2:10" ht="15">
      <c r="B230">
        <v>43326</v>
      </c>
      <c r="C230" s="92" t="s">
        <v>77</v>
      </c>
      <c r="D230" s="92">
        <v>66</v>
      </c>
      <c r="E230" s="92">
        <v>38</v>
      </c>
      <c r="G230"/>
      <c r="H230"/>
      <c r="I230"/>
      <c r="J230"/>
    </row>
    <row r="231" spans="2:10" ht="15">
      <c r="B231">
        <v>43327</v>
      </c>
      <c r="C231" s="92" t="s">
        <v>80</v>
      </c>
      <c r="D231" s="92">
        <v>36</v>
      </c>
      <c r="E231" s="92">
        <v>85</v>
      </c>
      <c r="G231"/>
      <c r="H231"/>
      <c r="I231"/>
      <c r="J231"/>
    </row>
    <row r="232" spans="2:10" ht="15">
      <c r="B232">
        <v>43328</v>
      </c>
      <c r="C232" s="92" t="s">
        <v>79</v>
      </c>
      <c r="D232" s="92">
        <v>57</v>
      </c>
      <c r="E232" s="92">
        <v>56</v>
      </c>
      <c r="G232"/>
      <c r="H232"/>
      <c r="I232"/>
      <c r="J232"/>
    </row>
    <row r="233" spans="2:10" ht="15">
      <c r="B233">
        <v>43329</v>
      </c>
      <c r="C233" s="92" t="s">
        <v>78</v>
      </c>
      <c r="D233" s="92">
        <v>67</v>
      </c>
      <c r="E233" s="92">
        <v>80</v>
      </c>
      <c r="G233"/>
      <c r="H233"/>
      <c r="I233"/>
      <c r="J233"/>
    </row>
    <row r="234" spans="2:10" ht="15">
      <c r="B234">
        <v>43330</v>
      </c>
      <c r="C234" s="92" t="s">
        <v>77</v>
      </c>
      <c r="D234" s="92">
        <v>47</v>
      </c>
      <c r="E234" s="92">
        <v>87</v>
      </c>
      <c r="G234"/>
      <c r="H234"/>
      <c r="I234"/>
      <c r="J234"/>
    </row>
    <row r="235" spans="2:10" ht="15">
      <c r="B235">
        <v>43331</v>
      </c>
      <c r="C235" s="92" t="s">
        <v>79</v>
      </c>
      <c r="D235" s="92">
        <v>30</v>
      </c>
      <c r="E235" s="92">
        <v>31</v>
      </c>
      <c r="G235"/>
      <c r="H235"/>
      <c r="I235"/>
      <c r="J235"/>
    </row>
    <row r="236" spans="2:10" ht="15">
      <c r="B236">
        <v>43332</v>
      </c>
      <c r="C236" s="92" t="s">
        <v>78</v>
      </c>
      <c r="D236" s="92">
        <v>100</v>
      </c>
      <c r="E236" s="92">
        <v>100</v>
      </c>
      <c r="G236"/>
      <c r="H236"/>
      <c r="I236"/>
      <c r="J236"/>
    </row>
    <row r="237" spans="2:10" ht="15">
      <c r="B237">
        <v>43333</v>
      </c>
      <c r="C237" s="92" t="s">
        <v>80</v>
      </c>
      <c r="D237" s="92">
        <v>79</v>
      </c>
      <c r="E237" s="92">
        <v>83</v>
      </c>
      <c r="G237"/>
      <c r="H237"/>
      <c r="I237"/>
      <c r="J237"/>
    </row>
    <row r="238" spans="2:10" ht="15">
      <c r="B238">
        <v>43334</v>
      </c>
      <c r="C238" s="92" t="s">
        <v>80</v>
      </c>
      <c r="D238" s="92">
        <v>71</v>
      </c>
      <c r="E238" s="92">
        <v>46</v>
      </c>
      <c r="G238"/>
      <c r="H238"/>
      <c r="I238"/>
      <c r="J238"/>
    </row>
    <row r="239" spans="2:10" ht="15">
      <c r="B239">
        <v>43335</v>
      </c>
      <c r="C239" s="92" t="s">
        <v>79</v>
      </c>
      <c r="D239" s="92">
        <v>92</v>
      </c>
      <c r="E239" s="92">
        <v>48</v>
      </c>
      <c r="G239"/>
      <c r="H239"/>
      <c r="I239"/>
      <c r="J239"/>
    </row>
    <row r="240" spans="2:10" ht="15">
      <c r="B240">
        <v>43336</v>
      </c>
      <c r="C240" s="92" t="s">
        <v>78</v>
      </c>
      <c r="D240" s="92">
        <v>96</v>
      </c>
      <c r="E240" s="92">
        <v>84</v>
      </c>
      <c r="G240"/>
      <c r="H240"/>
      <c r="I240"/>
      <c r="J240"/>
    </row>
    <row r="241" spans="2:10" ht="15">
      <c r="B241">
        <v>43337</v>
      </c>
      <c r="C241" s="92" t="s">
        <v>79</v>
      </c>
      <c r="D241" s="92">
        <v>34</v>
      </c>
      <c r="E241" s="92">
        <v>46</v>
      </c>
      <c r="G241"/>
      <c r="H241"/>
      <c r="I241"/>
      <c r="J241"/>
    </row>
    <row r="242" spans="2:10" ht="15">
      <c r="B242">
        <v>43338</v>
      </c>
      <c r="C242" s="92" t="s">
        <v>78</v>
      </c>
      <c r="D242" s="92">
        <v>83</v>
      </c>
      <c r="E242" s="92">
        <v>37</v>
      </c>
      <c r="G242"/>
      <c r="H242"/>
      <c r="I242"/>
      <c r="J242"/>
    </row>
    <row r="243" spans="2:10" ht="15">
      <c r="B243">
        <v>43339</v>
      </c>
      <c r="C243" s="92" t="s">
        <v>80</v>
      </c>
      <c r="D243" s="92">
        <v>91</v>
      </c>
      <c r="E243" s="92">
        <v>29</v>
      </c>
      <c r="G243"/>
      <c r="H243"/>
      <c r="I243"/>
      <c r="J243"/>
    </row>
    <row r="244" spans="2:10" ht="15">
      <c r="B244">
        <v>43340</v>
      </c>
      <c r="C244" s="92" t="s">
        <v>79</v>
      </c>
      <c r="D244" s="92">
        <v>85</v>
      </c>
      <c r="E244" s="92">
        <v>45</v>
      </c>
      <c r="G244"/>
      <c r="H244"/>
      <c r="I244"/>
      <c r="J244"/>
    </row>
    <row r="245" spans="2:10" ht="15">
      <c r="B245">
        <v>43341</v>
      </c>
      <c r="C245" s="92" t="s">
        <v>80</v>
      </c>
      <c r="D245" s="92">
        <v>33</v>
      </c>
      <c r="E245" s="92">
        <v>94</v>
      </c>
      <c r="G245"/>
      <c r="H245"/>
      <c r="I245"/>
      <c r="J245"/>
    </row>
    <row r="246" spans="2:10" ht="15">
      <c r="B246">
        <v>43342</v>
      </c>
      <c r="C246" s="92" t="s">
        <v>79</v>
      </c>
      <c r="D246" s="92">
        <v>90</v>
      </c>
      <c r="E246" s="92">
        <v>75</v>
      </c>
      <c r="G246"/>
      <c r="H246"/>
      <c r="I246"/>
      <c r="J246"/>
    </row>
    <row r="247" spans="2:10" ht="15">
      <c r="B247">
        <v>43343</v>
      </c>
      <c r="C247" s="92" t="s">
        <v>79</v>
      </c>
      <c r="D247" s="92">
        <v>35</v>
      </c>
      <c r="E247" s="92">
        <v>59</v>
      </c>
      <c r="G247"/>
      <c r="H247"/>
      <c r="I247"/>
      <c r="J247"/>
    </row>
    <row r="248" spans="2:10" ht="15">
      <c r="B248">
        <v>43344</v>
      </c>
      <c r="C248" s="92" t="s">
        <v>80</v>
      </c>
      <c r="D248" s="92">
        <v>81</v>
      </c>
      <c r="E248" s="92">
        <v>97</v>
      </c>
      <c r="G248"/>
      <c r="H248"/>
      <c r="I248"/>
      <c r="J248"/>
    </row>
    <row r="249" spans="2:10" ht="15">
      <c r="B249">
        <v>43345</v>
      </c>
      <c r="C249" s="92" t="s">
        <v>79</v>
      </c>
      <c r="D249" s="92">
        <v>82</v>
      </c>
      <c r="E249" s="92">
        <v>34</v>
      </c>
      <c r="G249"/>
      <c r="H249"/>
      <c r="I249"/>
      <c r="J249"/>
    </row>
    <row r="250" spans="2:10" ht="15">
      <c r="B250">
        <v>43346</v>
      </c>
      <c r="C250" s="92" t="s">
        <v>79</v>
      </c>
      <c r="D250" s="92">
        <v>76</v>
      </c>
      <c r="E250" s="92">
        <v>30</v>
      </c>
      <c r="G250"/>
      <c r="H250"/>
      <c r="I250"/>
      <c r="J250"/>
    </row>
    <row r="251" spans="2:10" ht="15">
      <c r="B251">
        <v>43347</v>
      </c>
      <c r="C251" s="92" t="s">
        <v>77</v>
      </c>
      <c r="D251" s="92">
        <v>60</v>
      </c>
      <c r="E251" s="92">
        <v>90</v>
      </c>
      <c r="G251"/>
      <c r="H251"/>
      <c r="I251"/>
      <c r="J251"/>
    </row>
    <row r="252" spans="2:10" ht="15">
      <c r="B252">
        <v>43348</v>
      </c>
      <c r="C252" s="92" t="s">
        <v>78</v>
      </c>
      <c r="D252" s="92">
        <v>28</v>
      </c>
      <c r="E252" s="92">
        <v>86</v>
      </c>
      <c r="G252"/>
      <c r="H252"/>
      <c r="I252"/>
      <c r="J252"/>
    </row>
    <row r="253" spans="2:10" ht="15">
      <c r="B253">
        <v>43349</v>
      </c>
      <c r="C253" s="92" t="s">
        <v>80</v>
      </c>
      <c r="D253" s="92">
        <v>29</v>
      </c>
      <c r="E253" s="92">
        <v>100</v>
      </c>
      <c r="G253"/>
      <c r="H253"/>
      <c r="I253"/>
      <c r="J253"/>
    </row>
    <row r="254" spans="2:10" ht="15">
      <c r="B254">
        <v>43350</v>
      </c>
      <c r="C254" s="92" t="s">
        <v>79</v>
      </c>
      <c r="D254" s="92">
        <v>90</v>
      </c>
      <c r="E254" s="92">
        <v>52</v>
      </c>
      <c r="G254"/>
      <c r="H254"/>
      <c r="I254"/>
      <c r="J254"/>
    </row>
    <row r="255" spans="2:10" ht="15">
      <c r="B255">
        <v>43351</v>
      </c>
      <c r="C255" s="92" t="s">
        <v>78</v>
      </c>
      <c r="D255" s="92">
        <v>36</v>
      </c>
      <c r="E255" s="92">
        <v>69</v>
      </c>
      <c r="G255"/>
      <c r="H255"/>
      <c r="I255"/>
      <c r="J255"/>
    </row>
    <row r="256" spans="2:10" ht="15">
      <c r="B256">
        <v>43352</v>
      </c>
      <c r="C256" s="92" t="s">
        <v>78</v>
      </c>
      <c r="D256" s="92">
        <v>48</v>
      </c>
      <c r="E256" s="92">
        <v>26</v>
      </c>
      <c r="G256"/>
      <c r="H256"/>
      <c r="I256"/>
      <c r="J256"/>
    </row>
    <row r="257" spans="2:10" ht="15">
      <c r="B257">
        <v>43353</v>
      </c>
      <c r="C257" s="92" t="s">
        <v>77</v>
      </c>
      <c r="D257" s="92">
        <v>40</v>
      </c>
      <c r="E257" s="92">
        <v>59</v>
      </c>
      <c r="G257"/>
      <c r="H257"/>
      <c r="I257"/>
      <c r="J257"/>
    </row>
    <row r="258" spans="2:10" ht="15">
      <c r="B258">
        <v>43354</v>
      </c>
      <c r="C258" s="92" t="s">
        <v>79</v>
      </c>
      <c r="D258" s="92">
        <v>51</v>
      </c>
      <c r="E258" s="92">
        <v>26</v>
      </c>
      <c r="G258"/>
      <c r="H258"/>
      <c r="I258"/>
      <c r="J258"/>
    </row>
    <row r="259" spans="2:10" ht="15">
      <c r="B259">
        <v>43355</v>
      </c>
      <c r="C259" s="92" t="s">
        <v>77</v>
      </c>
      <c r="D259" s="92">
        <v>82</v>
      </c>
      <c r="E259" s="92">
        <v>68</v>
      </c>
      <c r="G259"/>
      <c r="H259"/>
      <c r="I259"/>
      <c r="J259"/>
    </row>
    <row r="260" spans="2:10" ht="15">
      <c r="B260">
        <v>43356</v>
      </c>
      <c r="C260" s="92" t="s">
        <v>80</v>
      </c>
      <c r="D260" s="92">
        <v>37</v>
      </c>
      <c r="E260" s="92">
        <v>67</v>
      </c>
      <c r="G260"/>
      <c r="H260"/>
      <c r="I260"/>
      <c r="J260"/>
    </row>
    <row r="261" spans="2:10" ht="15">
      <c r="B261">
        <v>43357</v>
      </c>
      <c r="C261" s="92" t="s">
        <v>77</v>
      </c>
      <c r="D261" s="92">
        <v>80</v>
      </c>
      <c r="E261" s="92">
        <v>25</v>
      </c>
      <c r="G261"/>
      <c r="H261"/>
      <c r="I261"/>
      <c r="J261"/>
    </row>
    <row r="262" spans="2:10" ht="15">
      <c r="B262">
        <v>43358</v>
      </c>
      <c r="C262" s="92" t="s">
        <v>80</v>
      </c>
      <c r="D262" s="92">
        <v>94</v>
      </c>
      <c r="E262" s="92">
        <v>66</v>
      </c>
      <c r="G262"/>
      <c r="H262"/>
      <c r="I262"/>
      <c r="J262"/>
    </row>
    <row r="263" spans="2:10" ht="15">
      <c r="B263">
        <v>43359</v>
      </c>
      <c r="C263" s="92" t="s">
        <v>77</v>
      </c>
      <c r="D263" s="92">
        <v>26</v>
      </c>
      <c r="E263" s="92">
        <v>78</v>
      </c>
      <c r="G263"/>
      <c r="H263"/>
      <c r="I263"/>
      <c r="J263"/>
    </row>
    <row r="264" spans="2:10" ht="15">
      <c r="B264">
        <v>43360</v>
      </c>
      <c r="C264" s="92" t="s">
        <v>77</v>
      </c>
      <c r="D264" s="92">
        <v>71</v>
      </c>
      <c r="E264" s="92">
        <v>77</v>
      </c>
      <c r="G264"/>
      <c r="H264"/>
      <c r="I264"/>
      <c r="J264"/>
    </row>
    <row r="265" spans="2:10" ht="15">
      <c r="B265">
        <v>43361</v>
      </c>
      <c r="C265" s="92" t="s">
        <v>77</v>
      </c>
      <c r="D265" s="92">
        <v>89</v>
      </c>
      <c r="E265" s="92">
        <v>89</v>
      </c>
      <c r="G265"/>
      <c r="H265"/>
      <c r="I265"/>
      <c r="J265"/>
    </row>
    <row r="266" spans="2:10" ht="15">
      <c r="B266">
        <v>43362</v>
      </c>
      <c r="C266" s="92" t="s">
        <v>77</v>
      </c>
      <c r="D266" s="92">
        <v>42</v>
      </c>
      <c r="E266" s="92">
        <v>91</v>
      </c>
      <c r="G266"/>
      <c r="H266"/>
      <c r="I266"/>
      <c r="J266"/>
    </row>
    <row r="267" spans="2:10" ht="15">
      <c r="B267">
        <v>43363</v>
      </c>
      <c r="C267" s="92" t="s">
        <v>78</v>
      </c>
      <c r="D267" s="92">
        <v>93</v>
      </c>
      <c r="E267" s="92">
        <v>83</v>
      </c>
      <c r="G267"/>
      <c r="H267"/>
      <c r="I267"/>
      <c r="J267"/>
    </row>
    <row r="268" spans="2:10" ht="15">
      <c r="B268">
        <v>43364</v>
      </c>
      <c r="C268" s="92" t="s">
        <v>79</v>
      </c>
      <c r="D268" s="92">
        <v>63</v>
      </c>
      <c r="E268" s="92">
        <v>97</v>
      </c>
      <c r="G268"/>
      <c r="H268"/>
      <c r="I268"/>
      <c r="J268"/>
    </row>
    <row r="269" spans="2:10" ht="15">
      <c r="B269">
        <v>43365</v>
      </c>
      <c r="C269" s="92" t="s">
        <v>80</v>
      </c>
      <c r="D269" s="92">
        <v>31</v>
      </c>
      <c r="E269" s="92">
        <v>38</v>
      </c>
      <c r="G269"/>
      <c r="H269"/>
      <c r="I269"/>
      <c r="J269"/>
    </row>
    <row r="270" spans="2:10" ht="15">
      <c r="B270">
        <v>43366</v>
      </c>
      <c r="C270" s="92" t="s">
        <v>77</v>
      </c>
      <c r="D270" s="92">
        <v>100</v>
      </c>
      <c r="E270" s="92">
        <v>80</v>
      </c>
      <c r="G270"/>
      <c r="H270"/>
      <c r="I270"/>
      <c r="J270"/>
    </row>
    <row r="271" spans="2:10" ht="15">
      <c r="B271">
        <v>43367</v>
      </c>
      <c r="C271" s="92" t="s">
        <v>80</v>
      </c>
      <c r="D271" s="92">
        <v>60</v>
      </c>
      <c r="E271" s="92">
        <v>56</v>
      </c>
      <c r="G271"/>
      <c r="H271"/>
      <c r="I271"/>
      <c r="J271"/>
    </row>
    <row r="272" spans="2:10" ht="15">
      <c r="B272">
        <v>43368</v>
      </c>
      <c r="C272" s="92" t="s">
        <v>80</v>
      </c>
      <c r="D272" s="92">
        <v>77</v>
      </c>
      <c r="E272" s="92">
        <v>56</v>
      </c>
      <c r="G272"/>
      <c r="H272"/>
      <c r="I272"/>
      <c r="J272"/>
    </row>
    <row r="273" spans="2:10" ht="15">
      <c r="B273">
        <v>43369</v>
      </c>
      <c r="C273" s="92" t="s">
        <v>77</v>
      </c>
      <c r="D273" s="92">
        <v>47</v>
      </c>
      <c r="E273" s="92">
        <v>77</v>
      </c>
      <c r="G273"/>
      <c r="H273"/>
      <c r="I273"/>
      <c r="J273"/>
    </row>
    <row r="274" spans="2:10" ht="15">
      <c r="B274">
        <v>43370</v>
      </c>
      <c r="C274" s="92" t="s">
        <v>80</v>
      </c>
      <c r="D274" s="92">
        <v>59</v>
      </c>
      <c r="E274" s="92">
        <v>91</v>
      </c>
      <c r="G274"/>
      <c r="H274"/>
      <c r="I274"/>
      <c r="J274"/>
    </row>
    <row r="275" spans="2:10" ht="15">
      <c r="B275">
        <v>43371</v>
      </c>
      <c r="C275" s="92" t="s">
        <v>78</v>
      </c>
      <c r="D275" s="92">
        <v>43</v>
      </c>
      <c r="E275" s="92">
        <v>77</v>
      </c>
      <c r="G275"/>
      <c r="H275"/>
      <c r="I275"/>
      <c r="J275"/>
    </row>
    <row r="276" spans="2:10" ht="15">
      <c r="B276">
        <v>43372</v>
      </c>
      <c r="C276" s="92" t="s">
        <v>78</v>
      </c>
      <c r="D276" s="92">
        <v>69</v>
      </c>
      <c r="E276" s="92">
        <v>59</v>
      </c>
      <c r="G276"/>
      <c r="H276"/>
      <c r="I276"/>
      <c r="J276"/>
    </row>
    <row r="277" spans="2:10" ht="15">
      <c r="B277">
        <v>43373</v>
      </c>
      <c r="C277" s="92" t="s">
        <v>77</v>
      </c>
      <c r="D277" s="92">
        <v>39</v>
      </c>
      <c r="E277" s="92">
        <v>70</v>
      </c>
      <c r="G277"/>
      <c r="H277"/>
      <c r="I277"/>
      <c r="J277"/>
    </row>
    <row r="278" spans="2:10" ht="15">
      <c r="B278">
        <v>43374</v>
      </c>
      <c r="C278" s="92" t="s">
        <v>80</v>
      </c>
      <c r="D278" s="92">
        <v>25</v>
      </c>
      <c r="E278" s="92">
        <v>82</v>
      </c>
      <c r="G278"/>
      <c r="H278"/>
      <c r="I278"/>
      <c r="J278"/>
    </row>
    <row r="279" spans="2:10" ht="15">
      <c r="B279">
        <v>43375</v>
      </c>
      <c r="C279" s="92" t="s">
        <v>79</v>
      </c>
      <c r="D279" s="92">
        <v>86</v>
      </c>
      <c r="E279" s="92">
        <v>27</v>
      </c>
      <c r="G279"/>
      <c r="H279"/>
      <c r="I279"/>
      <c r="J279"/>
    </row>
    <row r="280" spans="2:10" ht="15">
      <c r="B280">
        <v>43376</v>
      </c>
      <c r="C280" s="92" t="s">
        <v>77</v>
      </c>
      <c r="D280" s="92">
        <v>49</v>
      </c>
      <c r="E280" s="92">
        <v>31</v>
      </c>
      <c r="G280"/>
      <c r="H280"/>
      <c r="I280"/>
      <c r="J280"/>
    </row>
    <row r="281" spans="2:10" ht="15">
      <c r="B281">
        <v>43377</v>
      </c>
      <c r="C281" s="92" t="s">
        <v>78</v>
      </c>
      <c r="D281" s="92">
        <v>86</v>
      </c>
      <c r="E281" s="92">
        <v>60</v>
      </c>
      <c r="G281"/>
      <c r="H281"/>
      <c r="I281"/>
      <c r="J281"/>
    </row>
    <row r="282" spans="2:10" ht="15">
      <c r="B282">
        <v>43378</v>
      </c>
      <c r="C282" s="92" t="s">
        <v>80</v>
      </c>
      <c r="D282" s="92">
        <v>45</v>
      </c>
      <c r="E282" s="92">
        <v>31</v>
      </c>
      <c r="G282"/>
      <c r="H282"/>
      <c r="I282"/>
      <c r="J282"/>
    </row>
    <row r="283" spans="2:10" ht="15">
      <c r="B283">
        <v>43379</v>
      </c>
      <c r="C283" s="92" t="s">
        <v>78</v>
      </c>
      <c r="D283" s="92">
        <v>91</v>
      </c>
      <c r="E283" s="92">
        <v>69</v>
      </c>
      <c r="G283"/>
      <c r="H283"/>
      <c r="I283"/>
      <c r="J283"/>
    </row>
    <row r="284" spans="2:10" ht="15">
      <c r="B284">
        <v>43380</v>
      </c>
      <c r="C284" s="92" t="s">
        <v>79</v>
      </c>
      <c r="D284" s="92">
        <v>55</v>
      </c>
      <c r="E284" s="92">
        <v>90</v>
      </c>
      <c r="G284"/>
      <c r="H284"/>
      <c r="I284"/>
      <c r="J284"/>
    </row>
    <row r="285" spans="2:10" ht="15">
      <c r="B285">
        <v>43381</v>
      </c>
      <c r="C285" s="92" t="s">
        <v>80</v>
      </c>
      <c r="D285" s="92">
        <v>62</v>
      </c>
      <c r="E285" s="92">
        <v>64</v>
      </c>
      <c r="G285"/>
      <c r="H285"/>
      <c r="I285"/>
      <c r="J285"/>
    </row>
    <row r="286" spans="2:10" ht="15">
      <c r="B286">
        <v>43382</v>
      </c>
      <c r="C286" s="92" t="s">
        <v>78</v>
      </c>
      <c r="D286" s="92">
        <v>44</v>
      </c>
      <c r="E286" s="92">
        <v>61</v>
      </c>
      <c r="G286"/>
      <c r="H286"/>
      <c r="I286"/>
      <c r="J286"/>
    </row>
    <row r="287" spans="2:10" ht="15">
      <c r="B287">
        <v>43383</v>
      </c>
      <c r="C287" s="92" t="s">
        <v>79</v>
      </c>
      <c r="D287" s="92">
        <v>39</v>
      </c>
      <c r="E287" s="92">
        <v>95</v>
      </c>
      <c r="G287"/>
      <c r="H287"/>
      <c r="I287"/>
      <c r="J287"/>
    </row>
    <row r="288" spans="2:10" ht="15">
      <c r="B288">
        <v>43384</v>
      </c>
      <c r="C288" s="92" t="s">
        <v>78</v>
      </c>
      <c r="D288" s="92">
        <v>69</v>
      </c>
      <c r="E288" s="92">
        <v>75</v>
      </c>
      <c r="G288"/>
      <c r="H288"/>
      <c r="I288"/>
      <c r="J288"/>
    </row>
    <row r="289" spans="2:10" ht="15">
      <c r="B289">
        <v>43385</v>
      </c>
      <c r="C289" s="92" t="s">
        <v>80</v>
      </c>
      <c r="D289" s="92">
        <v>56</v>
      </c>
      <c r="E289" s="92">
        <v>56</v>
      </c>
      <c r="G289"/>
      <c r="H289"/>
      <c r="I289"/>
      <c r="J289"/>
    </row>
    <row r="290" spans="2:10" ht="15">
      <c r="B290">
        <v>43386</v>
      </c>
      <c r="C290" s="92" t="s">
        <v>77</v>
      </c>
      <c r="D290" s="92">
        <v>73</v>
      </c>
      <c r="E290" s="92">
        <v>87</v>
      </c>
      <c r="G290"/>
      <c r="H290"/>
      <c r="I290"/>
      <c r="J290"/>
    </row>
    <row r="291" spans="2:10" ht="15">
      <c r="B291">
        <v>43387</v>
      </c>
      <c r="C291" s="92" t="s">
        <v>80</v>
      </c>
      <c r="D291" s="92">
        <v>91</v>
      </c>
      <c r="E291" s="92">
        <v>82</v>
      </c>
      <c r="G291"/>
      <c r="H291"/>
      <c r="I291"/>
      <c r="J291"/>
    </row>
    <row r="292" spans="2:10" ht="15">
      <c r="B292">
        <v>43388</v>
      </c>
      <c r="C292" s="92" t="s">
        <v>80</v>
      </c>
      <c r="D292" s="92">
        <v>63</v>
      </c>
      <c r="E292" s="92">
        <v>44</v>
      </c>
      <c r="G292"/>
      <c r="H292"/>
      <c r="I292"/>
      <c r="J292"/>
    </row>
    <row r="293" spans="2:10" ht="15">
      <c r="B293">
        <v>43389</v>
      </c>
      <c r="C293" s="92" t="s">
        <v>78</v>
      </c>
      <c r="D293" s="92">
        <v>55</v>
      </c>
      <c r="E293" s="92">
        <v>59</v>
      </c>
      <c r="G293"/>
      <c r="H293"/>
      <c r="I293"/>
      <c r="J293"/>
    </row>
    <row r="294" spans="2:10" ht="15">
      <c r="B294">
        <v>43390</v>
      </c>
      <c r="C294" s="92" t="s">
        <v>78</v>
      </c>
      <c r="D294" s="92">
        <v>88</v>
      </c>
      <c r="E294" s="92">
        <v>69</v>
      </c>
      <c r="G294"/>
      <c r="H294"/>
      <c r="I294"/>
      <c r="J294"/>
    </row>
    <row r="295" spans="2:10" ht="15">
      <c r="B295">
        <v>43391</v>
      </c>
      <c r="C295" s="92" t="s">
        <v>77</v>
      </c>
      <c r="D295" s="92">
        <v>92</v>
      </c>
      <c r="E295" s="92">
        <v>99</v>
      </c>
      <c r="G295"/>
      <c r="H295"/>
      <c r="I295"/>
      <c r="J295"/>
    </row>
    <row r="296" spans="2:10" ht="15">
      <c r="B296">
        <v>43392</v>
      </c>
      <c r="C296" s="92" t="s">
        <v>80</v>
      </c>
      <c r="D296" s="92">
        <v>31</v>
      </c>
      <c r="E296" s="92">
        <v>31</v>
      </c>
      <c r="G296"/>
      <c r="H296"/>
      <c r="I296"/>
      <c r="J296"/>
    </row>
    <row r="297" spans="2:10" ht="15">
      <c r="B297">
        <v>43393</v>
      </c>
      <c r="C297" s="92" t="s">
        <v>79</v>
      </c>
      <c r="D297" s="92">
        <v>44</v>
      </c>
      <c r="E297" s="92">
        <v>31</v>
      </c>
      <c r="G297"/>
      <c r="H297"/>
      <c r="I297"/>
      <c r="J297"/>
    </row>
    <row r="298" spans="2:10" ht="15">
      <c r="B298">
        <v>43394</v>
      </c>
      <c r="C298" s="92" t="s">
        <v>77</v>
      </c>
      <c r="D298" s="92">
        <v>88</v>
      </c>
      <c r="E298" s="92">
        <v>95</v>
      </c>
      <c r="G298"/>
      <c r="H298"/>
      <c r="I298"/>
      <c r="J298"/>
    </row>
    <row r="299" spans="2:10" ht="15">
      <c r="B299">
        <v>43395</v>
      </c>
      <c r="C299" s="92" t="s">
        <v>77</v>
      </c>
      <c r="D299" s="92">
        <v>36</v>
      </c>
      <c r="E299" s="92">
        <v>95</v>
      </c>
      <c r="G299"/>
      <c r="H299"/>
      <c r="I299"/>
      <c r="J299"/>
    </row>
    <row r="300" spans="2:10" ht="15">
      <c r="B300">
        <v>43396</v>
      </c>
      <c r="C300" s="92" t="s">
        <v>77</v>
      </c>
      <c r="D300" s="92">
        <v>52</v>
      </c>
      <c r="E300" s="92">
        <v>57</v>
      </c>
      <c r="G300"/>
      <c r="H300"/>
      <c r="I300"/>
      <c r="J300"/>
    </row>
    <row r="301" spans="2:10" ht="15">
      <c r="B301">
        <v>43397</v>
      </c>
      <c r="C301" s="92" t="s">
        <v>77</v>
      </c>
      <c r="D301" s="92">
        <v>88</v>
      </c>
      <c r="E301" s="92">
        <v>29</v>
      </c>
      <c r="G301"/>
      <c r="H301"/>
      <c r="I301"/>
      <c r="J301"/>
    </row>
    <row r="302" spans="2:10" ht="15">
      <c r="B302">
        <v>43398</v>
      </c>
      <c r="C302" s="92" t="s">
        <v>80</v>
      </c>
      <c r="D302" s="92">
        <v>38</v>
      </c>
      <c r="E302" s="92">
        <v>57</v>
      </c>
      <c r="G302"/>
      <c r="H302"/>
      <c r="I302"/>
      <c r="J302"/>
    </row>
    <row r="303" spans="2:10" ht="15">
      <c r="B303">
        <v>43399</v>
      </c>
      <c r="C303" s="92" t="s">
        <v>78</v>
      </c>
      <c r="D303" s="92">
        <v>28</v>
      </c>
      <c r="E303" s="92">
        <v>100</v>
      </c>
      <c r="G303"/>
      <c r="H303"/>
      <c r="I303"/>
      <c r="J303"/>
    </row>
    <row r="304" spans="2:10" ht="15">
      <c r="B304">
        <v>43400</v>
      </c>
      <c r="C304" s="92" t="s">
        <v>79</v>
      </c>
      <c r="D304" s="92">
        <v>58</v>
      </c>
      <c r="E304" s="92">
        <v>73</v>
      </c>
      <c r="G304"/>
      <c r="H304"/>
      <c r="I304"/>
      <c r="J304"/>
    </row>
    <row r="305" spans="2:10" ht="15">
      <c r="B305">
        <v>43401</v>
      </c>
      <c r="C305" s="92" t="s">
        <v>79</v>
      </c>
      <c r="D305" s="92">
        <v>90</v>
      </c>
      <c r="E305" s="92">
        <v>71</v>
      </c>
      <c r="G305"/>
      <c r="H305"/>
      <c r="I305"/>
      <c r="J305"/>
    </row>
    <row r="306" spans="2:10" ht="15">
      <c r="B306">
        <v>43402</v>
      </c>
      <c r="C306" s="92" t="s">
        <v>80</v>
      </c>
      <c r="D306" s="92">
        <v>55</v>
      </c>
      <c r="E306" s="92">
        <v>83</v>
      </c>
      <c r="G306"/>
      <c r="H306"/>
      <c r="I306"/>
      <c r="J306"/>
    </row>
    <row r="307" spans="2:10" ht="15">
      <c r="B307">
        <v>43403</v>
      </c>
      <c r="C307" s="92" t="s">
        <v>79</v>
      </c>
      <c r="D307" s="92">
        <v>37</v>
      </c>
      <c r="E307" s="92">
        <v>69</v>
      </c>
      <c r="G307"/>
      <c r="H307"/>
      <c r="I307"/>
      <c r="J307"/>
    </row>
    <row r="308" spans="2:10" ht="15">
      <c r="B308">
        <v>43404</v>
      </c>
      <c r="C308" s="92" t="s">
        <v>78</v>
      </c>
      <c r="D308" s="92">
        <v>71</v>
      </c>
      <c r="E308" s="92">
        <v>71</v>
      </c>
      <c r="G308"/>
      <c r="H308"/>
      <c r="I308"/>
      <c r="J308"/>
    </row>
    <row r="309" spans="2:10" ht="15">
      <c r="B309">
        <v>43405</v>
      </c>
      <c r="C309" s="92" t="s">
        <v>79</v>
      </c>
      <c r="D309" s="92">
        <v>32</v>
      </c>
      <c r="E309" s="92">
        <v>57</v>
      </c>
      <c r="G309"/>
      <c r="H309"/>
      <c r="I309"/>
      <c r="J309"/>
    </row>
    <row r="310" spans="2:10" ht="15">
      <c r="B310">
        <v>43406</v>
      </c>
      <c r="C310" s="92" t="s">
        <v>78</v>
      </c>
      <c r="D310" s="92">
        <v>62</v>
      </c>
      <c r="E310" s="92">
        <v>83</v>
      </c>
      <c r="G310"/>
      <c r="H310"/>
      <c r="I310"/>
      <c r="J310"/>
    </row>
    <row r="311" spans="2:10" ht="15">
      <c r="B311">
        <v>43407</v>
      </c>
      <c r="C311" s="92" t="s">
        <v>78</v>
      </c>
      <c r="D311" s="92">
        <v>44</v>
      </c>
      <c r="E311" s="92">
        <v>69</v>
      </c>
      <c r="G311"/>
      <c r="H311"/>
      <c r="I311"/>
      <c r="J311"/>
    </row>
    <row r="312" spans="2:10" ht="15">
      <c r="B312">
        <v>43408</v>
      </c>
      <c r="C312" s="92" t="s">
        <v>78</v>
      </c>
      <c r="D312" s="92">
        <v>88</v>
      </c>
      <c r="E312" s="92">
        <v>92</v>
      </c>
      <c r="G312"/>
      <c r="H312"/>
      <c r="I312"/>
      <c r="J312"/>
    </row>
    <row r="313" spans="2:10" ht="15">
      <c r="B313">
        <v>43409</v>
      </c>
      <c r="C313" s="92" t="s">
        <v>77</v>
      </c>
      <c r="D313" s="92">
        <v>73</v>
      </c>
      <c r="E313" s="92">
        <v>100</v>
      </c>
      <c r="G313"/>
      <c r="H313"/>
      <c r="I313"/>
      <c r="J313"/>
    </row>
    <row r="314" spans="2:10" ht="15">
      <c r="B314">
        <v>43410</v>
      </c>
      <c r="C314" s="92" t="s">
        <v>77</v>
      </c>
      <c r="D314" s="92">
        <v>82</v>
      </c>
      <c r="E314" s="92">
        <v>47</v>
      </c>
      <c r="G314"/>
      <c r="H314"/>
      <c r="I314"/>
      <c r="J314"/>
    </row>
    <row r="315" spans="2:10" ht="15">
      <c r="B315">
        <v>43411</v>
      </c>
      <c r="C315" s="92" t="s">
        <v>79</v>
      </c>
      <c r="D315" s="92">
        <v>86</v>
      </c>
      <c r="E315" s="92">
        <v>35</v>
      </c>
      <c r="G315"/>
      <c r="H315"/>
      <c r="I315"/>
      <c r="J315"/>
    </row>
    <row r="316" spans="2:10" ht="15">
      <c r="B316">
        <v>43412</v>
      </c>
      <c r="C316" s="92" t="s">
        <v>80</v>
      </c>
      <c r="D316" s="92">
        <v>48</v>
      </c>
      <c r="E316" s="92">
        <v>57</v>
      </c>
      <c r="G316"/>
      <c r="H316"/>
      <c r="I316"/>
      <c r="J316"/>
    </row>
    <row r="317" spans="2:10" ht="15">
      <c r="B317">
        <v>43413</v>
      </c>
      <c r="C317" s="92" t="s">
        <v>80</v>
      </c>
      <c r="D317" s="92">
        <v>92</v>
      </c>
      <c r="E317" s="92">
        <v>25</v>
      </c>
      <c r="G317"/>
      <c r="H317"/>
      <c r="I317"/>
      <c r="J317"/>
    </row>
    <row r="318" spans="2:10" ht="15">
      <c r="B318">
        <v>43414</v>
      </c>
      <c r="C318" s="92" t="s">
        <v>79</v>
      </c>
      <c r="D318" s="92">
        <v>79</v>
      </c>
      <c r="E318" s="92">
        <v>83</v>
      </c>
      <c r="G318"/>
      <c r="H318"/>
      <c r="I318"/>
      <c r="J318"/>
    </row>
    <row r="319" spans="2:10" ht="15">
      <c r="B319">
        <v>43415</v>
      </c>
      <c r="C319" s="92" t="s">
        <v>80</v>
      </c>
      <c r="D319" s="92">
        <v>74</v>
      </c>
      <c r="E319" s="92">
        <v>36</v>
      </c>
      <c r="G319"/>
      <c r="H319"/>
      <c r="I319"/>
      <c r="J319"/>
    </row>
    <row r="320" spans="2:10" ht="15">
      <c r="B320">
        <v>43416</v>
      </c>
      <c r="C320" s="92" t="s">
        <v>78</v>
      </c>
      <c r="D320" s="92">
        <v>35</v>
      </c>
      <c r="E320" s="92">
        <v>76</v>
      </c>
      <c r="G320"/>
      <c r="H320"/>
      <c r="I320"/>
      <c r="J320"/>
    </row>
    <row r="321" spans="2:10" ht="15">
      <c r="B321">
        <v>43417</v>
      </c>
      <c r="C321" s="92" t="s">
        <v>79</v>
      </c>
      <c r="D321" s="92">
        <v>46</v>
      </c>
      <c r="E321" s="92">
        <v>44</v>
      </c>
      <c r="G321"/>
      <c r="H321"/>
      <c r="I321"/>
      <c r="J321"/>
    </row>
    <row r="322" spans="2:10" ht="15">
      <c r="B322">
        <v>43418</v>
      </c>
      <c r="C322" s="92" t="s">
        <v>80</v>
      </c>
      <c r="D322" s="92">
        <v>88</v>
      </c>
      <c r="E322" s="92">
        <v>62</v>
      </c>
      <c r="G322"/>
      <c r="H322"/>
      <c r="I322"/>
      <c r="J322"/>
    </row>
    <row r="323" spans="2:10" ht="15">
      <c r="B323">
        <v>43419</v>
      </c>
      <c r="C323" s="92" t="s">
        <v>77</v>
      </c>
      <c r="D323" s="92">
        <v>35</v>
      </c>
      <c r="E323" s="92">
        <v>66</v>
      </c>
      <c r="G323"/>
      <c r="H323"/>
      <c r="I323"/>
      <c r="J323"/>
    </row>
    <row r="324" spans="2:10" ht="15">
      <c r="B324">
        <v>43420</v>
      </c>
      <c r="C324" s="92" t="s">
        <v>79</v>
      </c>
      <c r="D324" s="92">
        <v>88</v>
      </c>
      <c r="E324" s="92">
        <v>80</v>
      </c>
      <c r="G324"/>
      <c r="H324"/>
      <c r="I324"/>
      <c r="J324"/>
    </row>
    <row r="325" spans="2:10" ht="15">
      <c r="B325">
        <v>43421</v>
      </c>
      <c r="C325" s="92" t="s">
        <v>80</v>
      </c>
      <c r="D325" s="92">
        <v>84</v>
      </c>
      <c r="E325" s="92">
        <v>74</v>
      </c>
      <c r="G325"/>
      <c r="H325"/>
      <c r="I325"/>
      <c r="J325"/>
    </row>
    <row r="326" spans="2:10" ht="15">
      <c r="B326">
        <v>43422</v>
      </c>
      <c r="C326" s="92" t="s">
        <v>80</v>
      </c>
      <c r="D326" s="92">
        <v>95</v>
      </c>
      <c r="E326" s="92">
        <v>39</v>
      </c>
      <c r="G326"/>
      <c r="H326"/>
      <c r="I326"/>
      <c r="J326"/>
    </row>
    <row r="327" spans="2:10" ht="15">
      <c r="B327">
        <v>43423</v>
      </c>
      <c r="C327" s="92" t="s">
        <v>80</v>
      </c>
      <c r="D327" s="92">
        <v>59</v>
      </c>
      <c r="E327" s="92">
        <v>64</v>
      </c>
      <c r="G327"/>
      <c r="H327"/>
      <c r="I327"/>
      <c r="J327"/>
    </row>
    <row r="328" spans="2:10" ht="15">
      <c r="B328">
        <v>43424</v>
      </c>
      <c r="C328" s="92" t="s">
        <v>79</v>
      </c>
      <c r="D328" s="92">
        <v>79</v>
      </c>
      <c r="E328" s="92">
        <v>41</v>
      </c>
      <c r="G328"/>
      <c r="H328"/>
      <c r="I328"/>
      <c r="J328"/>
    </row>
    <row r="329" spans="2:10" ht="15">
      <c r="B329">
        <v>43425</v>
      </c>
      <c r="C329" s="92" t="s">
        <v>78</v>
      </c>
      <c r="D329" s="92">
        <v>32</v>
      </c>
      <c r="E329" s="92">
        <v>95</v>
      </c>
      <c r="G329"/>
      <c r="H329"/>
      <c r="I329"/>
      <c r="J329"/>
    </row>
    <row r="330" spans="2:10" ht="15">
      <c r="B330">
        <v>43426</v>
      </c>
      <c r="C330" s="92" t="s">
        <v>79</v>
      </c>
      <c r="D330" s="92">
        <v>93</v>
      </c>
      <c r="E330" s="92">
        <v>29</v>
      </c>
      <c r="G330"/>
      <c r="H330"/>
      <c r="I330"/>
      <c r="J330"/>
    </row>
    <row r="331" spans="2:10" ht="15">
      <c r="B331">
        <v>43427</v>
      </c>
      <c r="C331" s="92" t="s">
        <v>77</v>
      </c>
      <c r="D331" s="92">
        <v>97</v>
      </c>
      <c r="E331" s="92">
        <v>76</v>
      </c>
      <c r="G331"/>
      <c r="H331"/>
      <c r="I331"/>
      <c r="J331"/>
    </row>
    <row r="332" spans="2:10" ht="15">
      <c r="B332">
        <v>43428</v>
      </c>
      <c r="C332" s="92" t="s">
        <v>78</v>
      </c>
      <c r="D332" s="92">
        <v>73</v>
      </c>
      <c r="E332" s="92">
        <v>27</v>
      </c>
      <c r="G332"/>
      <c r="H332"/>
      <c r="I332"/>
      <c r="J332"/>
    </row>
    <row r="333" spans="2:10" ht="15">
      <c r="B333">
        <v>43429</v>
      </c>
      <c r="C333" s="92" t="s">
        <v>80</v>
      </c>
      <c r="D333" s="92">
        <v>82</v>
      </c>
      <c r="E333" s="92">
        <v>38</v>
      </c>
      <c r="G333"/>
      <c r="H333"/>
      <c r="I333"/>
      <c r="J333"/>
    </row>
    <row r="334" spans="2:10" ht="15">
      <c r="B334">
        <v>43430</v>
      </c>
      <c r="C334" s="92" t="s">
        <v>77</v>
      </c>
      <c r="D334" s="92">
        <v>52</v>
      </c>
      <c r="E334" s="92">
        <v>96</v>
      </c>
      <c r="G334"/>
      <c r="H334"/>
      <c r="I334"/>
      <c r="J334"/>
    </row>
    <row r="335" spans="2:10" ht="15">
      <c r="B335">
        <v>43431</v>
      </c>
      <c r="C335" s="92" t="s">
        <v>79</v>
      </c>
      <c r="D335" s="92">
        <v>57</v>
      </c>
      <c r="E335" s="92">
        <v>43</v>
      </c>
      <c r="G335"/>
      <c r="H335"/>
      <c r="I335"/>
      <c r="J335"/>
    </row>
    <row r="336" spans="2:10" ht="15">
      <c r="B336">
        <v>43432</v>
      </c>
      <c r="C336" s="92" t="s">
        <v>78</v>
      </c>
      <c r="D336" s="92">
        <v>86</v>
      </c>
      <c r="E336" s="92">
        <v>42</v>
      </c>
      <c r="G336"/>
      <c r="H336"/>
      <c r="I336"/>
      <c r="J336"/>
    </row>
    <row r="337" spans="2:10" ht="15">
      <c r="B337">
        <v>43433</v>
      </c>
      <c r="C337" s="92" t="s">
        <v>80</v>
      </c>
      <c r="D337" s="92">
        <v>38</v>
      </c>
      <c r="E337" s="92">
        <v>53</v>
      </c>
      <c r="G337"/>
      <c r="H337"/>
      <c r="I337"/>
      <c r="J337"/>
    </row>
    <row r="338" spans="2:10" ht="15">
      <c r="B338">
        <v>43434</v>
      </c>
      <c r="C338" s="92" t="s">
        <v>77</v>
      </c>
      <c r="D338" s="92">
        <v>62</v>
      </c>
      <c r="E338" s="92">
        <v>32</v>
      </c>
      <c r="G338"/>
      <c r="H338"/>
      <c r="I338"/>
      <c r="J338"/>
    </row>
    <row r="339" spans="2:10" ht="15">
      <c r="B339">
        <v>43435</v>
      </c>
      <c r="C339" s="92" t="s">
        <v>78</v>
      </c>
      <c r="D339" s="92">
        <v>78</v>
      </c>
      <c r="E339" s="92">
        <v>67</v>
      </c>
      <c r="G339"/>
      <c r="H339"/>
      <c r="I339"/>
      <c r="J339"/>
    </row>
    <row r="340" spans="2:10" ht="15">
      <c r="B340">
        <v>43436</v>
      </c>
      <c r="C340" s="92" t="s">
        <v>77</v>
      </c>
      <c r="D340" s="92">
        <v>92</v>
      </c>
      <c r="E340" s="92">
        <v>88</v>
      </c>
      <c r="G340"/>
      <c r="H340"/>
      <c r="I340"/>
      <c r="J340"/>
    </row>
    <row r="341" spans="2:10" ht="15">
      <c r="B341">
        <v>43437</v>
      </c>
      <c r="C341" s="92" t="s">
        <v>78</v>
      </c>
      <c r="D341" s="92">
        <v>95</v>
      </c>
      <c r="E341" s="92">
        <v>41</v>
      </c>
      <c r="G341"/>
      <c r="H341"/>
      <c r="I341"/>
      <c r="J341"/>
    </row>
    <row r="342" spans="2:10" ht="15">
      <c r="B342">
        <v>43438</v>
      </c>
      <c r="C342" s="92" t="s">
        <v>78</v>
      </c>
      <c r="D342" s="92">
        <v>36</v>
      </c>
      <c r="E342" s="92">
        <v>65</v>
      </c>
      <c r="G342"/>
      <c r="H342"/>
      <c r="I342"/>
      <c r="J342"/>
    </row>
    <row r="343" spans="2:10" ht="15">
      <c r="B343">
        <v>43439</v>
      </c>
      <c r="C343" s="92" t="s">
        <v>77</v>
      </c>
      <c r="D343" s="92">
        <v>87</v>
      </c>
      <c r="E343" s="92">
        <v>25</v>
      </c>
      <c r="G343"/>
      <c r="H343"/>
      <c r="I343"/>
      <c r="J343"/>
    </row>
    <row r="344" spans="2:10" ht="15">
      <c r="B344">
        <v>43440</v>
      </c>
      <c r="C344" s="92" t="s">
        <v>80</v>
      </c>
      <c r="D344" s="92">
        <v>95</v>
      </c>
      <c r="E344" s="92">
        <v>92</v>
      </c>
      <c r="G344"/>
      <c r="H344"/>
      <c r="I344"/>
      <c r="J344"/>
    </row>
    <row r="345" spans="2:10" ht="15">
      <c r="B345">
        <v>43441</v>
      </c>
      <c r="C345" s="92" t="s">
        <v>77</v>
      </c>
      <c r="D345" s="92">
        <v>64</v>
      </c>
      <c r="E345" s="92">
        <v>47</v>
      </c>
      <c r="G345"/>
      <c r="H345"/>
      <c r="I345"/>
      <c r="J345"/>
    </row>
    <row r="346" spans="2:10" ht="15">
      <c r="B346">
        <v>43442</v>
      </c>
      <c r="C346" s="92" t="s">
        <v>79</v>
      </c>
      <c r="D346" s="92">
        <v>51</v>
      </c>
      <c r="E346" s="92">
        <v>63</v>
      </c>
      <c r="G346"/>
      <c r="H346"/>
      <c r="I346"/>
      <c r="J346"/>
    </row>
    <row r="347" spans="2:10" ht="15">
      <c r="B347">
        <v>43443</v>
      </c>
      <c r="C347" s="92" t="s">
        <v>80</v>
      </c>
      <c r="D347" s="92">
        <v>48</v>
      </c>
      <c r="E347" s="92">
        <v>73</v>
      </c>
      <c r="G347"/>
      <c r="H347"/>
      <c r="I347"/>
      <c r="J347"/>
    </row>
    <row r="348" spans="2:10" ht="15">
      <c r="B348">
        <v>43444</v>
      </c>
      <c r="C348" s="92" t="s">
        <v>79</v>
      </c>
      <c r="D348" s="92">
        <v>80</v>
      </c>
      <c r="E348" s="92">
        <v>40</v>
      </c>
      <c r="G348"/>
      <c r="H348"/>
      <c r="I348"/>
      <c r="J348"/>
    </row>
    <row r="349" spans="2:10" ht="15">
      <c r="B349">
        <v>43445</v>
      </c>
      <c r="C349" s="92" t="s">
        <v>78</v>
      </c>
      <c r="D349" s="92">
        <v>72</v>
      </c>
      <c r="E349" s="92">
        <v>34</v>
      </c>
      <c r="G349"/>
      <c r="H349"/>
      <c r="I349"/>
      <c r="J349"/>
    </row>
    <row r="350" spans="2:10" ht="15">
      <c r="B350">
        <v>43446</v>
      </c>
      <c r="C350" s="92" t="s">
        <v>77</v>
      </c>
      <c r="D350" s="92">
        <v>27</v>
      </c>
      <c r="E350" s="92">
        <v>95</v>
      </c>
      <c r="G350"/>
      <c r="H350"/>
      <c r="I350"/>
      <c r="J350"/>
    </row>
    <row r="351" spans="2:10" ht="15">
      <c r="B351">
        <v>43447</v>
      </c>
      <c r="C351" s="92" t="s">
        <v>79</v>
      </c>
      <c r="D351" s="92">
        <v>36</v>
      </c>
      <c r="E351" s="92">
        <v>50</v>
      </c>
      <c r="G351"/>
      <c r="H351"/>
      <c r="I351"/>
      <c r="J351"/>
    </row>
    <row r="352" spans="2:10" ht="15">
      <c r="B352">
        <v>43448</v>
      </c>
      <c r="C352" s="92" t="s">
        <v>77</v>
      </c>
      <c r="D352" s="92">
        <v>74</v>
      </c>
      <c r="E352" s="92">
        <v>48</v>
      </c>
      <c r="G352"/>
      <c r="H352"/>
      <c r="I352"/>
      <c r="J352"/>
    </row>
    <row r="353" spans="2:10" ht="15">
      <c r="B353">
        <v>43449</v>
      </c>
      <c r="C353" s="92" t="s">
        <v>80</v>
      </c>
      <c r="D353" s="92">
        <v>63</v>
      </c>
      <c r="E353" s="92">
        <v>48</v>
      </c>
      <c r="G353"/>
      <c r="H353"/>
      <c r="I353"/>
      <c r="J353"/>
    </row>
    <row r="354" spans="2:10" ht="15">
      <c r="B354">
        <v>43450</v>
      </c>
      <c r="C354" s="92" t="s">
        <v>79</v>
      </c>
      <c r="D354" s="92">
        <v>43</v>
      </c>
      <c r="E354" s="92">
        <v>76</v>
      </c>
      <c r="G354"/>
      <c r="H354"/>
      <c r="I354"/>
      <c r="J354"/>
    </row>
    <row r="355" spans="2:10" ht="15">
      <c r="G355"/>
      <c r="H355"/>
      <c r="I355"/>
      <c r="J355"/>
    </row>
    <row r="356" spans="2:10" ht="15">
      <c r="G356"/>
      <c r="H356"/>
      <c r="I356"/>
      <c r="J356"/>
    </row>
    <row r="357" spans="2:10" ht="15">
      <c r="G357"/>
      <c r="H357"/>
      <c r="I357"/>
      <c r="J357"/>
    </row>
    <row r="358" spans="2:10" ht="15">
      <c r="G358"/>
      <c r="H358"/>
      <c r="I358"/>
      <c r="J358"/>
    </row>
    <row r="359" spans="2:10" ht="15">
      <c r="G359"/>
      <c r="H359"/>
      <c r="I359"/>
      <c r="J359"/>
    </row>
    <row r="360" spans="2:10" ht="15">
      <c r="G360"/>
      <c r="H360"/>
      <c r="I360"/>
      <c r="J360"/>
    </row>
    <row r="361" spans="2:10" ht="15">
      <c r="G361"/>
      <c r="H361"/>
      <c r="I361"/>
      <c r="J361"/>
    </row>
    <row r="362" spans="2:10" ht="15">
      <c r="G362"/>
      <c r="H362"/>
      <c r="I362"/>
      <c r="J362"/>
    </row>
    <row r="363" spans="2:10" ht="15">
      <c r="G363"/>
      <c r="H363"/>
      <c r="I363"/>
      <c r="J363"/>
    </row>
    <row r="364" spans="2:10" ht="15">
      <c r="G364"/>
      <c r="H364"/>
      <c r="I364"/>
      <c r="J364"/>
    </row>
    <row r="365" spans="2:10" ht="15">
      <c r="G365"/>
      <c r="H365"/>
      <c r="I365"/>
      <c r="J365"/>
    </row>
    <row r="366" spans="2:10" ht="15">
      <c r="G366"/>
      <c r="H366"/>
      <c r="I366"/>
      <c r="J366"/>
    </row>
    <row r="367" spans="2:10" ht="15">
      <c r="G367"/>
      <c r="H367"/>
      <c r="I367"/>
      <c r="J367"/>
    </row>
    <row r="368" spans="2:10" ht="15">
      <c r="H368"/>
    </row>
    <row r="369" spans="8:8" ht="15">
      <c r="H369"/>
    </row>
    <row r="370" spans="8:8" ht="15">
      <c r="H370"/>
    </row>
    <row r="371" spans="8:8" ht="15">
      <c r="H371"/>
    </row>
    <row r="372" spans="8:8" ht="15">
      <c r="H372"/>
    </row>
    <row r="373" spans="8:8" ht="15">
      <c r="H373"/>
    </row>
    <row r="374" spans="8:8" ht="15">
      <c r="H374"/>
    </row>
    <row r="375" spans="8:8" ht="15">
      <c r="H375"/>
    </row>
    <row r="376" spans="8:8" ht="15">
      <c r="H376"/>
    </row>
  </sheetData>
  <mergeCells count="1">
    <mergeCell ref="K7:L7"/>
  </mergeCells>
  <pageMargins left="0.78740157499999996" right="0.78740157499999996" top="0.984251969" bottom="0.984251969" header="0.49212598499999999" footer="0.49212598499999999"/>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9588A-5375-4D4D-8BB0-433480DA8BCA}">
  <sheetPr codeName="E10">
    <tabColor rgb="FF00B050"/>
  </sheetPr>
  <dimension ref="B1:X369"/>
  <sheetViews>
    <sheetView showGridLines="0" workbookViewId="0">
      <selection activeCell="L24" sqref="L24"/>
    </sheetView>
  </sheetViews>
  <sheetFormatPr defaultColWidth="12.6640625" defaultRowHeight="17.100000000000001" customHeight="1"/>
  <cols>
    <col min="1" max="1" width="5.6640625" style="10" customWidth="1"/>
    <col min="2" max="3" width="15.5546875" style="10" customWidth="1"/>
    <col min="4" max="4" width="29.33203125" style="10" bestFit="1" customWidth="1"/>
    <col min="5" max="5" width="24.33203125" style="12" bestFit="1" customWidth="1"/>
    <col min="6" max="6" width="5.6640625" style="10" customWidth="1"/>
    <col min="7" max="7" width="18" style="10" bestFit="1" customWidth="1"/>
    <col min="8" max="8" width="33" style="10" bestFit="1" customWidth="1"/>
    <col min="9" max="9" width="28" style="10" bestFit="1" customWidth="1"/>
    <col min="10" max="11" width="16.33203125" style="10" customWidth="1"/>
    <col min="12" max="16384" width="12.6640625" style="10"/>
  </cols>
  <sheetData>
    <row r="1" spans="2:24" ht="17.100000000000001" customHeight="1">
      <c r="X1" s="10">
        <v>1</v>
      </c>
    </row>
    <row r="7" spans="2:24" ht="15">
      <c r="E7" s="10"/>
    </row>
    <row r="8" spans="2:24" s="42" customFormat="1" ht="17.100000000000001" customHeight="1">
      <c r="B8" s="120" t="s">
        <v>136</v>
      </c>
      <c r="C8" s="120"/>
      <c r="D8" s="120"/>
      <c r="E8" s="120"/>
      <c r="F8" s="43"/>
      <c r="G8" s="120" t="s">
        <v>137</v>
      </c>
      <c r="H8" s="120"/>
      <c r="I8" s="120"/>
      <c r="J8" s="120"/>
      <c r="L8" s="114"/>
      <c r="M8" s="114"/>
    </row>
    <row r="9" spans="2:24" s="46" customFormat="1" ht="17.100000000000001" customHeight="1">
      <c r="B9" s="45"/>
      <c r="C9" s="45"/>
      <c r="D9" s="45"/>
      <c r="E9" s="45"/>
      <c r="F9" s="45"/>
      <c r="G9" s="45"/>
      <c r="H9" s="45"/>
      <c r="I9" s="45"/>
      <c r="J9" s="45"/>
    </row>
    <row r="10" spans="2:24" s="42" customFormat="1" ht="15">
      <c r="B10" s="102" t="s">
        <v>2</v>
      </c>
      <c r="C10" s="102" t="s">
        <v>74</v>
      </c>
      <c r="D10" s="102" t="s">
        <v>75</v>
      </c>
      <c r="E10" s="102" t="s">
        <v>76</v>
      </c>
      <c r="F10" s="10"/>
      <c r="G10" s="91" t="s">
        <v>57</v>
      </c>
      <c r="H10" s="91" t="s">
        <v>67</v>
      </c>
      <c r="I10" s="91" t="s">
        <v>68</v>
      </c>
      <c r="J10" s="91" t="s">
        <v>56</v>
      </c>
      <c r="K10" s="91" t="s">
        <v>55</v>
      </c>
      <c r="L10" s="10"/>
      <c r="M10" s="10"/>
      <c r="N10" s="10"/>
    </row>
    <row r="11" spans="2:24" s="42" customFormat="1" ht="15">
      <c r="B11" s="103">
        <v>42740</v>
      </c>
      <c r="C11" s="102" t="s">
        <v>77</v>
      </c>
      <c r="D11" s="102">
        <v>90</v>
      </c>
      <c r="E11" s="102">
        <v>59</v>
      </c>
      <c r="F11" s="10"/>
      <c r="G11" t="s">
        <v>58</v>
      </c>
      <c r="H11" s="104">
        <v>43990</v>
      </c>
      <c r="I11" s="104">
        <f>(H11*6.78%)+H11</f>
        <v>46972.521999999997</v>
      </c>
      <c r="J11" s="104">
        <v>27980</v>
      </c>
      <c r="K11" s="104">
        <f>I11-J11</f>
        <v>18992.521999999997</v>
      </c>
      <c r="L11" s="10"/>
      <c r="M11" s="10"/>
      <c r="N11" s="10"/>
    </row>
    <row r="12" spans="2:24" s="42" customFormat="1" ht="15">
      <c r="B12" s="103">
        <v>42741</v>
      </c>
      <c r="C12" s="102" t="s">
        <v>77</v>
      </c>
      <c r="D12" s="102">
        <v>98</v>
      </c>
      <c r="E12" s="102">
        <v>81</v>
      </c>
      <c r="F12" s="10"/>
      <c r="G12" t="s">
        <v>61</v>
      </c>
      <c r="H12" s="104">
        <v>51590</v>
      </c>
      <c r="I12" s="104">
        <f t="shared" ref="I12:I19" si="0">(H12*6.78%)+H12</f>
        <v>55087.802000000003</v>
      </c>
      <c r="J12" s="104">
        <v>31200</v>
      </c>
      <c r="K12" s="104">
        <f t="shared" ref="K12:K19" si="1">I12-J12</f>
        <v>23887.802000000003</v>
      </c>
      <c r="L12" s="10"/>
      <c r="M12" s="10"/>
      <c r="N12" s="10"/>
    </row>
    <row r="13" spans="2:24" ht="15">
      <c r="B13" s="103">
        <v>42742</v>
      </c>
      <c r="C13" s="102" t="s">
        <v>78</v>
      </c>
      <c r="D13" s="102">
        <v>87</v>
      </c>
      <c r="E13" s="102">
        <v>52</v>
      </c>
      <c r="G13" t="s">
        <v>62</v>
      </c>
      <c r="H13" s="104">
        <v>63100</v>
      </c>
      <c r="I13" s="104">
        <f t="shared" si="0"/>
        <v>67378.179999999993</v>
      </c>
      <c r="J13" s="104">
        <v>45210</v>
      </c>
      <c r="K13" s="104">
        <f t="shared" si="1"/>
        <v>22168.179999999993</v>
      </c>
    </row>
    <row r="14" spans="2:24" ht="15">
      <c r="B14" s="103">
        <v>42743</v>
      </c>
      <c r="C14" s="102" t="s">
        <v>78</v>
      </c>
      <c r="D14" s="102">
        <v>69</v>
      </c>
      <c r="E14" s="102">
        <v>72</v>
      </c>
      <c r="G14" t="s">
        <v>63</v>
      </c>
      <c r="H14" s="104">
        <v>74990</v>
      </c>
      <c r="I14" s="104">
        <f t="shared" si="0"/>
        <v>80074.322</v>
      </c>
      <c r="J14" s="104">
        <v>49789</v>
      </c>
      <c r="K14" s="104">
        <f t="shared" si="1"/>
        <v>30285.322</v>
      </c>
    </row>
    <row r="15" spans="2:24" ht="15">
      <c r="B15" s="103">
        <v>42744</v>
      </c>
      <c r="C15" s="102" t="s">
        <v>77</v>
      </c>
      <c r="D15" s="102">
        <v>38</v>
      </c>
      <c r="E15" s="102">
        <v>62</v>
      </c>
      <c r="G15" t="s">
        <v>64</v>
      </c>
      <c r="H15" s="104">
        <v>196702</v>
      </c>
      <c r="I15" s="104">
        <f t="shared" si="0"/>
        <v>210038.39559999999</v>
      </c>
      <c r="J15" s="104">
        <v>85000</v>
      </c>
      <c r="K15" s="104">
        <f t="shared" si="1"/>
        <v>125038.39559999999</v>
      </c>
    </row>
    <row r="16" spans="2:24" ht="15">
      <c r="B16" s="103">
        <v>42745</v>
      </c>
      <c r="C16" s="102" t="s">
        <v>79</v>
      </c>
      <c r="D16" s="102">
        <v>43</v>
      </c>
      <c r="E16" s="102">
        <v>84</v>
      </c>
      <c r="G16" t="s">
        <v>65</v>
      </c>
      <c r="H16" s="104">
        <v>90414</v>
      </c>
      <c r="I16" s="104">
        <f t="shared" si="0"/>
        <v>96544.069199999998</v>
      </c>
      <c r="J16" s="104">
        <v>56870</v>
      </c>
      <c r="K16" s="104">
        <f t="shared" si="1"/>
        <v>39674.069199999998</v>
      </c>
    </row>
    <row r="17" spans="2:11" ht="15">
      <c r="B17" s="103">
        <v>42746</v>
      </c>
      <c r="C17" s="102" t="s">
        <v>79</v>
      </c>
      <c r="D17" s="102">
        <v>64</v>
      </c>
      <c r="E17" s="102">
        <v>31</v>
      </c>
      <c r="G17" t="s">
        <v>66</v>
      </c>
      <c r="H17" s="104">
        <v>189900</v>
      </c>
      <c r="I17" s="104">
        <f t="shared" si="0"/>
        <v>202775.22</v>
      </c>
      <c r="J17" s="104">
        <v>92100</v>
      </c>
      <c r="K17" s="104">
        <f t="shared" si="1"/>
        <v>110675.22</v>
      </c>
    </row>
    <row r="18" spans="2:11" ht="15">
      <c r="B18" s="103">
        <v>42747</v>
      </c>
      <c r="C18" s="102" t="s">
        <v>77</v>
      </c>
      <c r="D18" s="102">
        <v>35</v>
      </c>
      <c r="E18" s="102">
        <v>29</v>
      </c>
      <c r="G18" t="s">
        <v>59</v>
      </c>
      <c r="H18" s="104">
        <v>137900</v>
      </c>
      <c r="I18" s="104">
        <f t="shared" si="0"/>
        <v>147249.62</v>
      </c>
      <c r="J18" s="104">
        <v>82100</v>
      </c>
      <c r="K18" s="104">
        <f t="shared" si="1"/>
        <v>65149.619999999995</v>
      </c>
    </row>
    <row r="19" spans="2:11" ht="15">
      <c r="B19" s="103">
        <v>42748</v>
      </c>
      <c r="C19" s="102" t="s">
        <v>80</v>
      </c>
      <c r="D19" s="102">
        <v>58</v>
      </c>
      <c r="E19" s="102">
        <v>80</v>
      </c>
      <c r="G19" t="s">
        <v>60</v>
      </c>
      <c r="H19" s="104">
        <v>99990</v>
      </c>
      <c r="I19" s="104">
        <f t="shared" si="0"/>
        <v>106769.322</v>
      </c>
      <c r="J19" s="104">
        <v>59000</v>
      </c>
      <c r="K19" s="104">
        <f t="shared" si="1"/>
        <v>47769.322</v>
      </c>
    </row>
    <row r="20" spans="2:11" ht="15">
      <c r="B20" s="103">
        <v>42749</v>
      </c>
      <c r="C20" s="102" t="s">
        <v>78</v>
      </c>
      <c r="D20" s="102">
        <v>87</v>
      </c>
      <c r="E20" s="102">
        <v>75</v>
      </c>
      <c r="G20" s="44"/>
      <c r="H20" s="44"/>
      <c r="I20" s="44"/>
      <c r="J20" s="44"/>
      <c r="K20" s="44"/>
    </row>
    <row r="21" spans="2:11" ht="15">
      <c r="B21" s="103">
        <v>42750</v>
      </c>
      <c r="C21" s="102" t="s">
        <v>79</v>
      </c>
      <c r="D21" s="102">
        <v>30</v>
      </c>
      <c r="E21" s="102">
        <v>76</v>
      </c>
      <c r="G21" s="44"/>
      <c r="H21" s="44"/>
      <c r="I21" s="44"/>
      <c r="J21" s="44"/>
      <c r="K21" s="44"/>
    </row>
    <row r="22" spans="2:11" ht="15">
      <c r="B22" s="103">
        <v>42751</v>
      </c>
      <c r="C22" s="102" t="s">
        <v>79</v>
      </c>
      <c r="D22" s="102">
        <v>60</v>
      </c>
      <c r="E22" s="102">
        <v>46</v>
      </c>
      <c r="G22" s="44"/>
      <c r="H22" s="44"/>
      <c r="I22" s="44"/>
      <c r="J22" s="44"/>
      <c r="K22" s="44"/>
    </row>
    <row r="23" spans="2:11" ht="15">
      <c r="B23" s="103">
        <v>42752</v>
      </c>
      <c r="C23" s="102" t="s">
        <v>77</v>
      </c>
      <c r="D23" s="102">
        <v>29</v>
      </c>
      <c r="E23" s="102">
        <v>46</v>
      </c>
      <c r="G23" s="44"/>
      <c r="H23" s="44"/>
      <c r="I23" s="44"/>
      <c r="J23" s="44"/>
      <c r="K23" s="44"/>
    </row>
    <row r="24" spans="2:11" ht="15">
      <c r="B24" s="103">
        <v>42753</v>
      </c>
      <c r="C24" s="102" t="s">
        <v>78</v>
      </c>
      <c r="D24" s="102">
        <v>34</v>
      </c>
      <c r="E24" s="102">
        <v>81</v>
      </c>
      <c r="G24" s="44"/>
      <c r="H24" s="44"/>
      <c r="I24" s="44"/>
      <c r="J24" s="44"/>
      <c r="K24" s="44"/>
    </row>
    <row r="25" spans="2:11" ht="15">
      <c r="B25" s="103">
        <v>42754</v>
      </c>
      <c r="C25" s="102" t="s">
        <v>79</v>
      </c>
      <c r="D25" s="102">
        <v>93</v>
      </c>
      <c r="E25" s="102">
        <v>85</v>
      </c>
      <c r="G25" s="44"/>
      <c r="H25" s="44"/>
      <c r="I25" s="44"/>
      <c r="J25" s="44"/>
      <c r="K25" s="44"/>
    </row>
    <row r="26" spans="2:11" ht="15">
      <c r="B26" s="103">
        <v>42755</v>
      </c>
      <c r="C26" s="102" t="s">
        <v>78</v>
      </c>
      <c r="D26" s="102">
        <v>100</v>
      </c>
      <c r="E26" s="102">
        <v>88</v>
      </c>
      <c r="F26" s="43"/>
      <c r="G26" s="44"/>
      <c r="H26" s="44"/>
      <c r="I26" s="44"/>
      <c r="J26" s="44"/>
      <c r="K26" s="44"/>
    </row>
    <row r="27" spans="2:11" ht="15">
      <c r="B27" s="103">
        <v>42756</v>
      </c>
      <c r="C27" s="102" t="s">
        <v>79</v>
      </c>
      <c r="D27" s="102">
        <v>58</v>
      </c>
      <c r="E27" s="102">
        <v>60</v>
      </c>
      <c r="F27" s="43"/>
      <c r="G27" s="44"/>
      <c r="H27" s="44"/>
      <c r="I27" s="44"/>
      <c r="J27" s="44"/>
      <c r="K27" s="44"/>
    </row>
    <row r="28" spans="2:11" ht="15">
      <c r="B28" s="103">
        <v>42757</v>
      </c>
      <c r="C28" s="102" t="s">
        <v>78</v>
      </c>
      <c r="D28" s="102">
        <v>47</v>
      </c>
      <c r="E28" s="102">
        <v>77</v>
      </c>
      <c r="F28" s="43"/>
      <c r="G28" s="44"/>
      <c r="H28" s="44"/>
      <c r="I28" s="44"/>
      <c r="J28" s="44"/>
      <c r="K28" s="44"/>
    </row>
    <row r="29" spans="2:11" ht="15">
      <c r="B29" s="103">
        <v>42758</v>
      </c>
      <c r="C29" s="102" t="s">
        <v>79</v>
      </c>
      <c r="D29" s="102">
        <v>71</v>
      </c>
      <c r="E29" s="102">
        <v>73</v>
      </c>
      <c r="F29" s="43"/>
      <c r="G29" s="44"/>
      <c r="H29" s="44"/>
      <c r="I29" s="44"/>
      <c r="J29" s="44"/>
      <c r="K29" s="44"/>
    </row>
    <row r="30" spans="2:11" ht="15">
      <c r="B30" s="103">
        <v>42759</v>
      </c>
      <c r="C30" s="102" t="s">
        <v>78</v>
      </c>
      <c r="D30" s="102">
        <v>52</v>
      </c>
      <c r="E30" s="102">
        <v>56</v>
      </c>
      <c r="F30" s="43"/>
      <c r="G30" s="44"/>
      <c r="H30" s="44"/>
      <c r="I30" s="44"/>
      <c r="J30" s="44"/>
      <c r="K30" s="44"/>
    </row>
    <row r="31" spans="2:11" ht="15">
      <c r="B31" s="103">
        <v>42760</v>
      </c>
      <c r="C31" s="102" t="s">
        <v>77</v>
      </c>
      <c r="D31" s="102">
        <v>42</v>
      </c>
      <c r="E31" s="102">
        <v>39</v>
      </c>
      <c r="F31" s="43"/>
      <c r="G31" s="44"/>
      <c r="H31" s="44"/>
      <c r="I31" s="44"/>
      <c r="J31" s="44"/>
      <c r="K31" s="44"/>
    </row>
    <row r="32" spans="2:11" ht="15">
      <c r="B32" s="103">
        <v>42761</v>
      </c>
      <c r="C32" s="102" t="s">
        <v>80</v>
      </c>
      <c r="D32" s="102">
        <v>72</v>
      </c>
      <c r="E32" s="102">
        <v>86</v>
      </c>
      <c r="F32" s="43"/>
      <c r="G32" s="44"/>
      <c r="H32" s="44"/>
      <c r="I32" s="44"/>
      <c r="J32" s="44"/>
      <c r="K32" s="44"/>
    </row>
    <row r="33" spans="2:11" ht="15">
      <c r="B33" s="103">
        <v>42762</v>
      </c>
      <c r="C33" s="102" t="s">
        <v>77</v>
      </c>
      <c r="D33" s="102">
        <v>80</v>
      </c>
      <c r="E33" s="102">
        <v>100</v>
      </c>
      <c r="F33" s="43"/>
      <c r="G33" s="44"/>
      <c r="H33" s="44"/>
      <c r="I33" s="44"/>
      <c r="J33" s="44"/>
      <c r="K33" s="44"/>
    </row>
    <row r="34" spans="2:11" ht="15">
      <c r="B34" s="103">
        <v>42763</v>
      </c>
      <c r="C34" s="102" t="s">
        <v>80</v>
      </c>
      <c r="D34" s="102">
        <v>45</v>
      </c>
      <c r="E34" s="102">
        <v>39</v>
      </c>
      <c r="F34" s="43"/>
      <c r="G34" s="44"/>
      <c r="H34" s="44"/>
      <c r="I34" s="44"/>
      <c r="J34" s="44"/>
      <c r="K34" s="44"/>
    </row>
    <row r="35" spans="2:11" ht="15">
      <c r="B35" s="103">
        <v>42764</v>
      </c>
      <c r="C35" s="102" t="s">
        <v>80</v>
      </c>
      <c r="D35" s="102">
        <v>33</v>
      </c>
      <c r="E35" s="102">
        <v>86</v>
      </c>
      <c r="F35" s="43"/>
      <c r="G35" s="44"/>
      <c r="H35" s="44"/>
      <c r="I35" s="44"/>
      <c r="J35" s="44"/>
      <c r="K35" s="44"/>
    </row>
    <row r="36" spans="2:11" ht="15">
      <c r="B36" s="103">
        <v>42765</v>
      </c>
      <c r="C36" s="102" t="s">
        <v>79</v>
      </c>
      <c r="D36" s="102">
        <v>97</v>
      </c>
      <c r="E36" s="102">
        <v>36</v>
      </c>
      <c r="F36" s="43"/>
      <c r="G36" s="44"/>
      <c r="H36" s="44"/>
      <c r="I36" s="44"/>
      <c r="J36" s="44"/>
      <c r="K36" s="44"/>
    </row>
    <row r="37" spans="2:11" ht="15">
      <c r="B37" s="103">
        <v>42766</v>
      </c>
      <c r="C37" s="102" t="s">
        <v>77</v>
      </c>
      <c r="D37" s="102">
        <v>35</v>
      </c>
      <c r="E37" s="102">
        <v>53</v>
      </c>
      <c r="F37" s="43"/>
      <c r="G37"/>
    </row>
    <row r="38" spans="2:11" ht="15">
      <c r="B38" s="103">
        <v>42767</v>
      </c>
      <c r="C38" s="102" t="s">
        <v>78</v>
      </c>
      <c r="D38" s="102">
        <v>95</v>
      </c>
      <c r="E38" s="102">
        <v>40</v>
      </c>
      <c r="F38" s="43"/>
      <c r="G38"/>
    </row>
    <row r="39" spans="2:11" ht="15">
      <c r="B39" s="103">
        <v>42768</v>
      </c>
      <c r="C39" s="102" t="s">
        <v>80</v>
      </c>
      <c r="D39" s="102">
        <v>82</v>
      </c>
      <c r="E39" s="102">
        <v>56</v>
      </c>
      <c r="F39" s="43"/>
      <c r="G39"/>
    </row>
    <row r="40" spans="2:11" ht="15">
      <c r="B40" s="103">
        <v>42769</v>
      </c>
      <c r="C40" s="102" t="s">
        <v>79</v>
      </c>
      <c r="D40" s="102">
        <v>67</v>
      </c>
      <c r="E40" s="102">
        <v>39</v>
      </c>
      <c r="F40" s="43"/>
      <c r="G40"/>
    </row>
    <row r="41" spans="2:11" ht="15">
      <c r="B41" s="103">
        <v>42770</v>
      </c>
      <c r="C41" s="102" t="s">
        <v>77</v>
      </c>
      <c r="D41" s="102">
        <v>43</v>
      </c>
      <c r="E41" s="102">
        <v>88</v>
      </c>
      <c r="F41" s="43"/>
      <c r="G41"/>
    </row>
    <row r="42" spans="2:11" ht="15">
      <c r="B42" s="103">
        <v>42771</v>
      </c>
      <c r="C42" s="102" t="s">
        <v>77</v>
      </c>
      <c r="D42" s="102">
        <v>92</v>
      </c>
      <c r="E42" s="102">
        <v>29</v>
      </c>
      <c r="F42" s="43"/>
      <c r="G42"/>
    </row>
    <row r="43" spans="2:11" ht="15">
      <c r="B43" s="103">
        <v>42772</v>
      </c>
      <c r="C43" s="102" t="s">
        <v>78</v>
      </c>
      <c r="D43" s="102">
        <v>98</v>
      </c>
      <c r="E43" s="102">
        <v>54</v>
      </c>
      <c r="F43" s="43"/>
      <c r="G43"/>
    </row>
    <row r="44" spans="2:11" ht="15">
      <c r="B44" s="103">
        <v>42773</v>
      </c>
      <c r="C44" s="102" t="s">
        <v>79</v>
      </c>
      <c r="D44" s="102">
        <v>33</v>
      </c>
      <c r="E44" s="102">
        <v>40</v>
      </c>
      <c r="F44" s="43"/>
      <c r="G44"/>
    </row>
    <row r="45" spans="2:11" ht="15">
      <c r="B45" s="103">
        <v>42774</v>
      </c>
      <c r="C45" s="102" t="s">
        <v>80</v>
      </c>
      <c r="D45" s="102">
        <v>92</v>
      </c>
      <c r="E45" s="102">
        <v>42</v>
      </c>
      <c r="G45"/>
    </row>
    <row r="46" spans="2:11" ht="15">
      <c r="B46" s="103">
        <v>42775</v>
      </c>
      <c r="C46" s="102" t="s">
        <v>79</v>
      </c>
      <c r="D46" s="102">
        <v>37</v>
      </c>
      <c r="E46" s="102">
        <v>42</v>
      </c>
      <c r="G46"/>
    </row>
    <row r="47" spans="2:11" ht="15">
      <c r="B47" s="103">
        <v>42776</v>
      </c>
      <c r="C47" s="102" t="s">
        <v>79</v>
      </c>
      <c r="D47" s="102">
        <v>69</v>
      </c>
      <c r="E47" s="102">
        <v>56</v>
      </c>
      <c r="G47"/>
    </row>
    <row r="48" spans="2:11" ht="15">
      <c r="B48" s="103">
        <v>42777</v>
      </c>
      <c r="C48" s="102" t="s">
        <v>78</v>
      </c>
      <c r="D48" s="102">
        <v>38</v>
      </c>
      <c r="E48" s="102">
        <v>39</v>
      </c>
      <c r="G48"/>
    </row>
    <row r="49" spans="2:7" ht="15">
      <c r="B49" s="103">
        <v>42778</v>
      </c>
      <c r="C49" s="102" t="s">
        <v>78</v>
      </c>
      <c r="D49" s="102">
        <v>80</v>
      </c>
      <c r="E49" s="102">
        <v>77</v>
      </c>
      <c r="G49"/>
    </row>
    <row r="50" spans="2:7" ht="15">
      <c r="B50" s="103">
        <v>42779</v>
      </c>
      <c r="C50" s="102" t="s">
        <v>80</v>
      </c>
      <c r="D50" s="102">
        <v>61</v>
      </c>
      <c r="E50" s="102">
        <v>34</v>
      </c>
      <c r="G50"/>
    </row>
    <row r="51" spans="2:7" ht="15">
      <c r="B51" s="103">
        <v>42780</v>
      </c>
      <c r="C51" s="102" t="s">
        <v>78</v>
      </c>
      <c r="D51" s="102">
        <v>49</v>
      </c>
      <c r="E51" s="102">
        <v>27</v>
      </c>
      <c r="G51"/>
    </row>
    <row r="52" spans="2:7" ht="15">
      <c r="B52" s="103">
        <v>42781</v>
      </c>
      <c r="C52" s="102" t="s">
        <v>80</v>
      </c>
      <c r="D52" s="102">
        <v>100</v>
      </c>
      <c r="E52" s="102">
        <v>94</v>
      </c>
      <c r="G52"/>
    </row>
    <row r="53" spans="2:7" ht="15">
      <c r="B53" s="103">
        <v>42782</v>
      </c>
      <c r="C53" s="102" t="s">
        <v>79</v>
      </c>
      <c r="D53" s="102">
        <v>33</v>
      </c>
      <c r="E53" s="102">
        <v>72</v>
      </c>
      <c r="G53"/>
    </row>
    <row r="54" spans="2:7" ht="15">
      <c r="B54" s="103">
        <v>42783</v>
      </c>
      <c r="C54" s="102" t="s">
        <v>79</v>
      </c>
      <c r="D54" s="102">
        <v>52</v>
      </c>
      <c r="E54" s="102">
        <v>54</v>
      </c>
      <c r="G54"/>
    </row>
    <row r="55" spans="2:7" ht="15">
      <c r="B55" s="103">
        <v>42784</v>
      </c>
      <c r="C55" s="102" t="s">
        <v>77</v>
      </c>
      <c r="D55" s="102">
        <v>92</v>
      </c>
      <c r="E55" s="102">
        <v>50</v>
      </c>
      <c r="G55"/>
    </row>
    <row r="56" spans="2:7" ht="15">
      <c r="B56" s="103">
        <v>42785</v>
      </c>
      <c r="C56" s="102" t="s">
        <v>79</v>
      </c>
      <c r="D56" s="102">
        <v>75</v>
      </c>
      <c r="E56" s="102">
        <v>67</v>
      </c>
      <c r="G56"/>
    </row>
    <row r="57" spans="2:7" ht="15">
      <c r="B57" s="103">
        <v>42786</v>
      </c>
      <c r="C57" s="102" t="s">
        <v>77</v>
      </c>
      <c r="D57" s="102">
        <v>50</v>
      </c>
      <c r="E57" s="102">
        <v>64</v>
      </c>
      <c r="G57"/>
    </row>
    <row r="58" spans="2:7" ht="15">
      <c r="B58" s="103">
        <v>42787</v>
      </c>
      <c r="C58" s="102" t="s">
        <v>78</v>
      </c>
      <c r="D58" s="102">
        <v>32</v>
      </c>
      <c r="E58" s="102">
        <v>45</v>
      </c>
      <c r="G58"/>
    </row>
    <row r="59" spans="2:7" ht="15">
      <c r="B59" s="103">
        <v>42788</v>
      </c>
      <c r="C59" s="102" t="s">
        <v>79</v>
      </c>
      <c r="D59" s="102">
        <v>54</v>
      </c>
      <c r="E59" s="102">
        <v>29</v>
      </c>
      <c r="G59"/>
    </row>
    <row r="60" spans="2:7" ht="15">
      <c r="B60" s="103">
        <v>42789</v>
      </c>
      <c r="C60" s="102" t="s">
        <v>77</v>
      </c>
      <c r="D60" s="102">
        <v>85</v>
      </c>
      <c r="E60" s="102">
        <v>94</v>
      </c>
      <c r="G60"/>
    </row>
    <row r="61" spans="2:7" ht="15">
      <c r="B61" s="103">
        <v>42790</v>
      </c>
      <c r="C61" s="102" t="s">
        <v>77</v>
      </c>
      <c r="D61" s="102">
        <v>42</v>
      </c>
      <c r="E61" s="102">
        <v>46</v>
      </c>
      <c r="G61"/>
    </row>
    <row r="62" spans="2:7" ht="15">
      <c r="B62" s="103">
        <v>42791</v>
      </c>
      <c r="C62" s="102" t="s">
        <v>78</v>
      </c>
      <c r="D62" s="102">
        <v>36</v>
      </c>
      <c r="E62" s="102">
        <v>71</v>
      </c>
      <c r="G62"/>
    </row>
    <row r="63" spans="2:7" ht="15">
      <c r="B63" s="103">
        <v>42792</v>
      </c>
      <c r="C63" s="102" t="s">
        <v>80</v>
      </c>
      <c r="D63" s="102">
        <v>29</v>
      </c>
      <c r="E63" s="102">
        <v>58</v>
      </c>
      <c r="G63"/>
    </row>
    <row r="64" spans="2:7" ht="15">
      <c r="B64" s="103">
        <v>42793</v>
      </c>
      <c r="C64" s="102" t="s">
        <v>78</v>
      </c>
      <c r="D64" s="102">
        <v>38</v>
      </c>
      <c r="E64" s="102">
        <v>62</v>
      </c>
      <c r="G64"/>
    </row>
    <row r="65" spans="2:7" ht="15">
      <c r="B65" s="103">
        <v>42794</v>
      </c>
      <c r="C65" s="102" t="s">
        <v>80</v>
      </c>
      <c r="D65" s="102">
        <v>74</v>
      </c>
      <c r="E65" s="102">
        <v>46</v>
      </c>
      <c r="G65"/>
    </row>
    <row r="66" spans="2:7" ht="15">
      <c r="B66" s="103">
        <v>42795</v>
      </c>
      <c r="C66" s="102" t="s">
        <v>80</v>
      </c>
      <c r="D66" s="102">
        <v>63</v>
      </c>
      <c r="E66" s="102">
        <v>96</v>
      </c>
      <c r="G66"/>
    </row>
    <row r="67" spans="2:7" ht="15">
      <c r="B67" s="103">
        <v>42796</v>
      </c>
      <c r="C67" s="102" t="s">
        <v>78</v>
      </c>
      <c r="D67" s="102">
        <v>64</v>
      </c>
      <c r="E67" s="102">
        <v>38</v>
      </c>
      <c r="G67"/>
    </row>
    <row r="68" spans="2:7" ht="15">
      <c r="B68" s="103">
        <v>42797</v>
      </c>
      <c r="C68" s="102" t="s">
        <v>78</v>
      </c>
      <c r="D68" s="102">
        <v>92</v>
      </c>
      <c r="E68" s="102">
        <v>90</v>
      </c>
      <c r="G68"/>
    </row>
    <row r="69" spans="2:7" ht="15">
      <c r="B69" s="103">
        <v>42798</v>
      </c>
      <c r="C69" s="102" t="s">
        <v>77</v>
      </c>
      <c r="D69" s="102">
        <v>83</v>
      </c>
      <c r="E69" s="102">
        <v>82</v>
      </c>
      <c r="G69"/>
    </row>
    <row r="70" spans="2:7" ht="15">
      <c r="B70" s="103">
        <v>42799</v>
      </c>
      <c r="C70" s="102" t="s">
        <v>80</v>
      </c>
      <c r="D70" s="102">
        <v>97</v>
      </c>
      <c r="E70" s="102">
        <v>51</v>
      </c>
      <c r="G70"/>
    </row>
    <row r="71" spans="2:7" ht="15">
      <c r="B71" s="103">
        <v>42800</v>
      </c>
      <c r="C71" s="102" t="s">
        <v>77</v>
      </c>
      <c r="D71" s="102">
        <v>82</v>
      </c>
      <c r="E71" s="102">
        <v>35</v>
      </c>
      <c r="G71"/>
    </row>
    <row r="72" spans="2:7" ht="15">
      <c r="B72" s="103">
        <v>42801</v>
      </c>
      <c r="C72" s="102" t="s">
        <v>77</v>
      </c>
      <c r="D72" s="102">
        <v>86</v>
      </c>
      <c r="E72" s="102">
        <v>80</v>
      </c>
      <c r="G72"/>
    </row>
    <row r="73" spans="2:7" ht="15">
      <c r="B73" s="103">
        <v>42802</v>
      </c>
      <c r="C73" s="102" t="s">
        <v>78</v>
      </c>
      <c r="D73" s="102">
        <v>98</v>
      </c>
      <c r="E73" s="102">
        <v>47</v>
      </c>
      <c r="G73"/>
    </row>
    <row r="74" spans="2:7" ht="15">
      <c r="B74" s="103">
        <v>42803</v>
      </c>
      <c r="C74" s="102" t="s">
        <v>78</v>
      </c>
      <c r="D74" s="102">
        <v>86</v>
      </c>
      <c r="E74" s="102">
        <v>50</v>
      </c>
      <c r="G74"/>
    </row>
    <row r="75" spans="2:7" ht="15">
      <c r="B75" s="103">
        <v>42804</v>
      </c>
      <c r="C75" s="102" t="s">
        <v>78</v>
      </c>
      <c r="D75" s="102">
        <v>88</v>
      </c>
      <c r="E75" s="102">
        <v>83</v>
      </c>
      <c r="G75"/>
    </row>
    <row r="76" spans="2:7" ht="15">
      <c r="B76" s="103">
        <v>42805</v>
      </c>
      <c r="C76" s="102" t="s">
        <v>78</v>
      </c>
      <c r="D76" s="102">
        <v>81</v>
      </c>
      <c r="E76" s="102">
        <v>73</v>
      </c>
      <c r="G76"/>
    </row>
    <row r="77" spans="2:7" ht="15">
      <c r="B77" s="103">
        <v>42806</v>
      </c>
      <c r="C77" s="102" t="s">
        <v>79</v>
      </c>
      <c r="D77" s="102">
        <v>25</v>
      </c>
      <c r="E77" s="102">
        <v>81</v>
      </c>
      <c r="G77"/>
    </row>
    <row r="78" spans="2:7" ht="15">
      <c r="B78" s="103">
        <v>42807</v>
      </c>
      <c r="C78" s="102" t="s">
        <v>77</v>
      </c>
      <c r="D78" s="102">
        <v>97</v>
      </c>
      <c r="E78" s="102">
        <v>58</v>
      </c>
      <c r="G78"/>
    </row>
    <row r="79" spans="2:7" ht="15">
      <c r="B79" s="103">
        <v>42808</v>
      </c>
      <c r="C79" s="102" t="s">
        <v>77</v>
      </c>
      <c r="D79" s="102">
        <v>46</v>
      </c>
      <c r="E79" s="102">
        <v>49</v>
      </c>
      <c r="G79"/>
    </row>
    <row r="80" spans="2:7" ht="15">
      <c r="B80" s="103">
        <v>42809</v>
      </c>
      <c r="C80" s="102" t="s">
        <v>80</v>
      </c>
      <c r="D80" s="102">
        <v>52</v>
      </c>
      <c r="E80" s="102">
        <v>56</v>
      </c>
      <c r="G80"/>
    </row>
    <row r="81" spans="2:7" ht="15">
      <c r="B81" s="103">
        <v>42810</v>
      </c>
      <c r="C81" s="102" t="s">
        <v>79</v>
      </c>
      <c r="D81" s="102">
        <v>96</v>
      </c>
      <c r="E81" s="102">
        <v>48</v>
      </c>
      <c r="G81"/>
    </row>
    <row r="82" spans="2:7" ht="15">
      <c r="B82" s="103">
        <v>42811</v>
      </c>
      <c r="C82" s="102" t="s">
        <v>80</v>
      </c>
      <c r="D82" s="102">
        <v>85</v>
      </c>
      <c r="E82" s="102">
        <v>90</v>
      </c>
      <c r="G82"/>
    </row>
    <row r="83" spans="2:7" ht="15">
      <c r="B83" s="103">
        <v>42812</v>
      </c>
      <c r="C83" s="102" t="s">
        <v>78</v>
      </c>
      <c r="D83" s="102">
        <v>67</v>
      </c>
      <c r="E83" s="102">
        <v>47</v>
      </c>
      <c r="G83"/>
    </row>
    <row r="84" spans="2:7" ht="15">
      <c r="B84" s="103">
        <v>42813</v>
      </c>
      <c r="C84" s="102" t="s">
        <v>79</v>
      </c>
      <c r="D84" s="102">
        <v>29</v>
      </c>
      <c r="E84" s="102">
        <v>81</v>
      </c>
      <c r="G84"/>
    </row>
    <row r="85" spans="2:7" ht="15">
      <c r="B85" s="103">
        <v>42814</v>
      </c>
      <c r="C85" s="102" t="s">
        <v>78</v>
      </c>
      <c r="D85" s="102">
        <v>35</v>
      </c>
      <c r="E85" s="102">
        <v>47</v>
      </c>
      <c r="G85"/>
    </row>
    <row r="86" spans="2:7" ht="15">
      <c r="B86" s="103">
        <v>42815</v>
      </c>
      <c r="C86" s="102" t="s">
        <v>80</v>
      </c>
      <c r="D86" s="102">
        <v>32</v>
      </c>
      <c r="E86" s="102">
        <v>33</v>
      </c>
      <c r="G86"/>
    </row>
    <row r="87" spans="2:7" ht="15">
      <c r="B87" s="103">
        <v>42816</v>
      </c>
      <c r="C87" s="102" t="s">
        <v>78</v>
      </c>
      <c r="D87" s="102">
        <v>47</v>
      </c>
      <c r="E87" s="102">
        <v>30</v>
      </c>
      <c r="G87"/>
    </row>
    <row r="88" spans="2:7" ht="15">
      <c r="B88" s="103">
        <v>42817</v>
      </c>
      <c r="C88" s="102" t="s">
        <v>77</v>
      </c>
      <c r="D88" s="102">
        <v>53</v>
      </c>
      <c r="E88" s="102">
        <v>37</v>
      </c>
      <c r="G88"/>
    </row>
    <row r="89" spans="2:7" ht="15">
      <c r="B89" s="103">
        <v>42818</v>
      </c>
      <c r="C89" s="102" t="s">
        <v>77</v>
      </c>
      <c r="D89" s="102">
        <v>39</v>
      </c>
      <c r="E89" s="102">
        <v>89</v>
      </c>
      <c r="G89"/>
    </row>
    <row r="90" spans="2:7" ht="15">
      <c r="B90" s="103">
        <v>42819</v>
      </c>
      <c r="C90" s="102" t="s">
        <v>79</v>
      </c>
      <c r="D90" s="102">
        <v>39</v>
      </c>
      <c r="E90" s="102">
        <v>61</v>
      </c>
      <c r="G90"/>
    </row>
    <row r="91" spans="2:7" ht="15">
      <c r="B91" s="103">
        <v>42820</v>
      </c>
      <c r="C91" s="102" t="s">
        <v>80</v>
      </c>
      <c r="D91" s="102">
        <v>37</v>
      </c>
      <c r="E91" s="102">
        <v>59</v>
      </c>
      <c r="G91"/>
    </row>
    <row r="92" spans="2:7" ht="15">
      <c r="B92" s="103">
        <v>42821</v>
      </c>
      <c r="C92" s="102" t="s">
        <v>80</v>
      </c>
      <c r="D92" s="102">
        <v>58</v>
      </c>
      <c r="E92" s="102">
        <v>58</v>
      </c>
      <c r="G92"/>
    </row>
    <row r="93" spans="2:7" ht="15">
      <c r="B93" s="103">
        <v>42822</v>
      </c>
      <c r="C93" s="102" t="s">
        <v>78</v>
      </c>
      <c r="D93" s="102">
        <v>44</v>
      </c>
      <c r="E93" s="102">
        <v>81</v>
      </c>
      <c r="G93"/>
    </row>
    <row r="94" spans="2:7" ht="15">
      <c r="B94" s="103">
        <v>42823</v>
      </c>
      <c r="C94" s="102" t="s">
        <v>79</v>
      </c>
      <c r="D94" s="102">
        <v>41</v>
      </c>
      <c r="E94" s="102">
        <v>89</v>
      </c>
      <c r="G94"/>
    </row>
    <row r="95" spans="2:7" ht="15">
      <c r="B95" s="103">
        <v>42824</v>
      </c>
      <c r="C95" s="102" t="s">
        <v>78</v>
      </c>
      <c r="D95" s="102">
        <v>45</v>
      </c>
      <c r="E95" s="102">
        <v>29</v>
      </c>
      <c r="G95"/>
    </row>
    <row r="96" spans="2:7" ht="15">
      <c r="B96" s="103">
        <v>42825</v>
      </c>
      <c r="C96" s="102" t="s">
        <v>78</v>
      </c>
      <c r="D96" s="102">
        <v>31</v>
      </c>
      <c r="E96" s="102">
        <v>89</v>
      </c>
      <c r="G96"/>
    </row>
    <row r="97" spans="2:7" ht="15">
      <c r="B97" s="103">
        <v>42826</v>
      </c>
      <c r="C97" s="102" t="s">
        <v>77</v>
      </c>
      <c r="D97" s="102">
        <v>52</v>
      </c>
      <c r="E97" s="102">
        <v>63</v>
      </c>
      <c r="G97"/>
    </row>
    <row r="98" spans="2:7" ht="15">
      <c r="B98" s="103">
        <v>42827</v>
      </c>
      <c r="C98" s="102" t="s">
        <v>77</v>
      </c>
      <c r="D98" s="102">
        <v>96</v>
      </c>
      <c r="E98" s="102">
        <v>41</v>
      </c>
      <c r="G98"/>
    </row>
    <row r="99" spans="2:7" ht="15">
      <c r="B99" s="103">
        <v>42828</v>
      </c>
      <c r="C99" s="102" t="s">
        <v>80</v>
      </c>
      <c r="D99" s="102">
        <v>55</v>
      </c>
      <c r="E99" s="102">
        <v>49</v>
      </c>
      <c r="G99"/>
    </row>
    <row r="100" spans="2:7" ht="15">
      <c r="B100" s="103">
        <v>42829</v>
      </c>
      <c r="C100" s="102" t="s">
        <v>77</v>
      </c>
      <c r="D100" s="102">
        <v>73</v>
      </c>
      <c r="E100" s="102">
        <v>95</v>
      </c>
      <c r="G100"/>
    </row>
    <row r="101" spans="2:7" ht="15">
      <c r="B101" s="103">
        <v>42830</v>
      </c>
      <c r="C101" s="102" t="s">
        <v>78</v>
      </c>
      <c r="D101" s="102">
        <v>60</v>
      </c>
      <c r="E101" s="102">
        <v>99</v>
      </c>
      <c r="G101"/>
    </row>
    <row r="102" spans="2:7" ht="15">
      <c r="B102" s="103">
        <v>42831</v>
      </c>
      <c r="C102" s="102" t="s">
        <v>77</v>
      </c>
      <c r="D102" s="102">
        <v>59</v>
      </c>
      <c r="E102" s="102">
        <v>36</v>
      </c>
      <c r="G102"/>
    </row>
    <row r="103" spans="2:7" ht="15">
      <c r="B103" s="103">
        <v>42832</v>
      </c>
      <c r="C103" s="102" t="s">
        <v>78</v>
      </c>
      <c r="D103" s="102">
        <v>60</v>
      </c>
      <c r="E103" s="102">
        <v>26</v>
      </c>
      <c r="G103"/>
    </row>
    <row r="104" spans="2:7" ht="15">
      <c r="B104" s="103">
        <v>42833</v>
      </c>
      <c r="C104" s="102" t="s">
        <v>77</v>
      </c>
      <c r="D104" s="102">
        <v>53</v>
      </c>
      <c r="E104" s="102">
        <v>86</v>
      </c>
      <c r="G104"/>
    </row>
    <row r="105" spans="2:7" ht="15">
      <c r="B105" s="103">
        <v>42834</v>
      </c>
      <c r="C105" s="102" t="s">
        <v>78</v>
      </c>
      <c r="D105" s="102">
        <v>55</v>
      </c>
      <c r="E105" s="102">
        <v>79</v>
      </c>
      <c r="G105"/>
    </row>
    <row r="106" spans="2:7" ht="15">
      <c r="B106" s="103">
        <v>42835</v>
      </c>
      <c r="C106" s="102" t="s">
        <v>77</v>
      </c>
      <c r="D106" s="102">
        <v>59</v>
      </c>
      <c r="E106" s="102">
        <v>58</v>
      </c>
      <c r="G106"/>
    </row>
    <row r="107" spans="2:7" ht="15">
      <c r="B107" s="103">
        <v>42836</v>
      </c>
      <c r="C107" s="102" t="s">
        <v>79</v>
      </c>
      <c r="D107" s="102">
        <v>54</v>
      </c>
      <c r="E107" s="102">
        <v>95</v>
      </c>
      <c r="G107"/>
    </row>
    <row r="108" spans="2:7" ht="15">
      <c r="B108" s="103">
        <v>42837</v>
      </c>
      <c r="C108" s="102" t="s">
        <v>77</v>
      </c>
      <c r="D108" s="102">
        <v>36</v>
      </c>
      <c r="E108" s="102">
        <v>75</v>
      </c>
      <c r="G108"/>
    </row>
    <row r="109" spans="2:7" ht="15">
      <c r="B109" s="103">
        <v>42838</v>
      </c>
      <c r="C109" s="102" t="s">
        <v>77</v>
      </c>
      <c r="D109" s="102">
        <v>98</v>
      </c>
      <c r="E109" s="102">
        <v>37</v>
      </c>
      <c r="G109"/>
    </row>
    <row r="110" spans="2:7" ht="15">
      <c r="B110" s="103">
        <v>42839</v>
      </c>
      <c r="C110" s="102" t="s">
        <v>77</v>
      </c>
      <c r="D110" s="102">
        <v>62</v>
      </c>
      <c r="E110" s="102">
        <v>44</v>
      </c>
      <c r="G110"/>
    </row>
    <row r="111" spans="2:7" ht="15">
      <c r="B111" s="103">
        <v>42840</v>
      </c>
      <c r="C111" s="102" t="s">
        <v>77</v>
      </c>
      <c r="D111" s="102">
        <v>62</v>
      </c>
      <c r="E111" s="102">
        <v>83</v>
      </c>
      <c r="G111"/>
    </row>
    <row r="112" spans="2:7" ht="15">
      <c r="B112" s="103">
        <v>42841</v>
      </c>
      <c r="C112" s="102" t="s">
        <v>77</v>
      </c>
      <c r="D112" s="102">
        <v>82</v>
      </c>
      <c r="E112" s="102">
        <v>50</v>
      </c>
      <c r="G112"/>
    </row>
    <row r="113" spans="2:7" ht="15">
      <c r="B113" s="103">
        <v>42842</v>
      </c>
      <c r="C113" s="102" t="s">
        <v>79</v>
      </c>
      <c r="D113" s="102">
        <v>31</v>
      </c>
      <c r="E113" s="102">
        <v>57</v>
      </c>
      <c r="G113"/>
    </row>
    <row r="114" spans="2:7" ht="15">
      <c r="B114" s="103">
        <v>42843</v>
      </c>
      <c r="C114" s="102" t="s">
        <v>78</v>
      </c>
      <c r="D114" s="102">
        <v>81</v>
      </c>
      <c r="E114" s="102">
        <v>89</v>
      </c>
      <c r="G114"/>
    </row>
    <row r="115" spans="2:7" ht="15">
      <c r="B115" s="103">
        <v>42844</v>
      </c>
      <c r="C115" s="102" t="s">
        <v>79</v>
      </c>
      <c r="D115" s="102">
        <v>99</v>
      </c>
      <c r="E115" s="102">
        <v>66</v>
      </c>
      <c r="G115"/>
    </row>
    <row r="116" spans="2:7" ht="15">
      <c r="B116" s="103">
        <v>42845</v>
      </c>
      <c r="C116" s="102" t="s">
        <v>78</v>
      </c>
      <c r="D116" s="102">
        <v>65</v>
      </c>
      <c r="E116" s="102">
        <v>34</v>
      </c>
      <c r="G116"/>
    </row>
    <row r="117" spans="2:7" ht="15">
      <c r="B117" s="103">
        <v>42846</v>
      </c>
      <c r="C117" s="102" t="s">
        <v>78</v>
      </c>
      <c r="D117" s="102">
        <v>63</v>
      </c>
      <c r="E117" s="102">
        <v>64</v>
      </c>
      <c r="G117"/>
    </row>
    <row r="118" spans="2:7" ht="15">
      <c r="B118" s="103">
        <v>42847</v>
      </c>
      <c r="C118" s="102" t="s">
        <v>78</v>
      </c>
      <c r="D118" s="102">
        <v>85</v>
      </c>
      <c r="E118" s="102">
        <v>75</v>
      </c>
      <c r="G118"/>
    </row>
    <row r="119" spans="2:7" ht="15">
      <c r="B119" s="103">
        <v>42848</v>
      </c>
      <c r="C119" s="102" t="s">
        <v>77</v>
      </c>
      <c r="D119" s="102">
        <v>40</v>
      </c>
      <c r="E119" s="102">
        <v>93</v>
      </c>
      <c r="G119"/>
    </row>
    <row r="120" spans="2:7" ht="15">
      <c r="B120" s="103">
        <v>42849</v>
      </c>
      <c r="C120" s="102" t="s">
        <v>80</v>
      </c>
      <c r="D120" s="102">
        <v>36</v>
      </c>
      <c r="E120" s="102">
        <v>35</v>
      </c>
      <c r="G120"/>
    </row>
    <row r="121" spans="2:7" ht="15">
      <c r="B121" s="103">
        <v>42850</v>
      </c>
      <c r="C121" s="102" t="s">
        <v>79</v>
      </c>
      <c r="D121" s="102">
        <v>66</v>
      </c>
      <c r="E121" s="102">
        <v>71</v>
      </c>
      <c r="G121"/>
    </row>
    <row r="122" spans="2:7" ht="15">
      <c r="B122" s="103">
        <v>42851</v>
      </c>
      <c r="C122" s="102" t="s">
        <v>77</v>
      </c>
      <c r="D122" s="102">
        <v>82</v>
      </c>
      <c r="E122" s="102">
        <v>75</v>
      </c>
      <c r="G122"/>
    </row>
    <row r="123" spans="2:7" ht="15">
      <c r="B123" s="103">
        <v>42852</v>
      </c>
      <c r="C123" s="102" t="s">
        <v>79</v>
      </c>
      <c r="D123" s="102">
        <v>67</v>
      </c>
      <c r="E123" s="102">
        <v>61</v>
      </c>
      <c r="G123"/>
    </row>
    <row r="124" spans="2:7" ht="15">
      <c r="B124" s="103">
        <v>42853</v>
      </c>
      <c r="C124" s="102" t="s">
        <v>79</v>
      </c>
      <c r="D124" s="102">
        <v>27</v>
      </c>
      <c r="E124" s="102">
        <v>67</v>
      </c>
      <c r="G124"/>
    </row>
    <row r="125" spans="2:7" ht="15">
      <c r="B125" s="103">
        <v>42854</v>
      </c>
      <c r="C125" s="102" t="s">
        <v>78</v>
      </c>
      <c r="D125" s="102">
        <v>34</v>
      </c>
      <c r="E125" s="102">
        <v>40</v>
      </c>
      <c r="G125"/>
    </row>
    <row r="126" spans="2:7" ht="15">
      <c r="B126" s="103">
        <v>42855</v>
      </c>
      <c r="C126" s="102" t="s">
        <v>80</v>
      </c>
      <c r="D126" s="102">
        <v>51</v>
      </c>
      <c r="E126" s="102">
        <v>68</v>
      </c>
      <c r="G126"/>
    </row>
    <row r="127" spans="2:7" ht="15">
      <c r="B127" s="103">
        <v>42856</v>
      </c>
      <c r="C127" s="102" t="s">
        <v>77</v>
      </c>
      <c r="D127" s="102">
        <v>81</v>
      </c>
      <c r="E127" s="102">
        <v>81</v>
      </c>
      <c r="G127"/>
    </row>
    <row r="128" spans="2:7" ht="15">
      <c r="B128" s="103">
        <v>42857</v>
      </c>
      <c r="C128" s="102" t="s">
        <v>80</v>
      </c>
      <c r="D128" s="102">
        <v>42</v>
      </c>
      <c r="E128" s="102">
        <v>89</v>
      </c>
      <c r="G128"/>
    </row>
    <row r="129" spans="2:7" ht="15">
      <c r="B129" s="103">
        <v>42858</v>
      </c>
      <c r="C129" s="102" t="s">
        <v>79</v>
      </c>
      <c r="D129" s="102">
        <v>100</v>
      </c>
      <c r="E129" s="102">
        <v>55</v>
      </c>
      <c r="G129"/>
    </row>
    <row r="130" spans="2:7" ht="15">
      <c r="B130" s="103">
        <v>42859</v>
      </c>
      <c r="C130" s="102" t="s">
        <v>80</v>
      </c>
      <c r="D130" s="102">
        <v>80</v>
      </c>
      <c r="E130" s="102">
        <v>77</v>
      </c>
      <c r="G130"/>
    </row>
    <row r="131" spans="2:7" ht="15">
      <c r="B131" s="103">
        <v>42860</v>
      </c>
      <c r="C131" s="102" t="s">
        <v>78</v>
      </c>
      <c r="D131" s="102">
        <v>62</v>
      </c>
      <c r="E131" s="102">
        <v>38</v>
      </c>
      <c r="G131"/>
    </row>
    <row r="132" spans="2:7" ht="15">
      <c r="B132" s="103">
        <v>42861</v>
      </c>
      <c r="C132" s="102" t="s">
        <v>77</v>
      </c>
      <c r="D132" s="102">
        <v>56</v>
      </c>
      <c r="E132" s="102">
        <v>60</v>
      </c>
      <c r="G132"/>
    </row>
    <row r="133" spans="2:7" ht="15">
      <c r="B133" s="103">
        <v>42862</v>
      </c>
      <c r="C133" s="102" t="s">
        <v>78</v>
      </c>
      <c r="D133" s="102">
        <v>47</v>
      </c>
      <c r="E133" s="102">
        <v>88</v>
      </c>
      <c r="G133"/>
    </row>
    <row r="134" spans="2:7" ht="15">
      <c r="B134" s="103">
        <v>42863</v>
      </c>
      <c r="C134" s="102" t="s">
        <v>77</v>
      </c>
      <c r="D134" s="102">
        <v>67</v>
      </c>
      <c r="E134" s="102">
        <v>70</v>
      </c>
      <c r="G134"/>
    </row>
    <row r="135" spans="2:7" ht="15">
      <c r="B135" s="103">
        <v>42864</v>
      </c>
      <c r="C135" s="102" t="s">
        <v>77</v>
      </c>
      <c r="D135" s="102">
        <v>70</v>
      </c>
      <c r="E135" s="102">
        <v>97</v>
      </c>
      <c r="G135"/>
    </row>
    <row r="136" spans="2:7" ht="15">
      <c r="B136" s="103">
        <v>42865</v>
      </c>
      <c r="C136" s="102" t="s">
        <v>80</v>
      </c>
      <c r="D136" s="102">
        <v>48</v>
      </c>
      <c r="E136" s="102">
        <v>26</v>
      </c>
      <c r="G136"/>
    </row>
    <row r="137" spans="2:7" ht="15">
      <c r="B137" s="103">
        <v>42866</v>
      </c>
      <c r="C137" s="102" t="s">
        <v>78</v>
      </c>
      <c r="D137" s="102">
        <v>63</v>
      </c>
      <c r="E137" s="102">
        <v>71</v>
      </c>
      <c r="G137"/>
    </row>
    <row r="138" spans="2:7" ht="15">
      <c r="B138" s="103">
        <v>42867</v>
      </c>
      <c r="C138" s="102" t="s">
        <v>80</v>
      </c>
      <c r="D138" s="102">
        <v>45</v>
      </c>
      <c r="E138" s="102">
        <v>59</v>
      </c>
      <c r="G138"/>
    </row>
    <row r="139" spans="2:7" ht="15">
      <c r="B139" s="103">
        <v>42868</v>
      </c>
      <c r="C139" s="102" t="s">
        <v>80</v>
      </c>
      <c r="D139" s="102">
        <v>94</v>
      </c>
      <c r="E139" s="102">
        <v>30</v>
      </c>
      <c r="G139"/>
    </row>
    <row r="140" spans="2:7" ht="15">
      <c r="B140" s="103">
        <v>42869</v>
      </c>
      <c r="C140" s="102" t="s">
        <v>78</v>
      </c>
      <c r="D140" s="102">
        <v>46</v>
      </c>
      <c r="E140" s="102">
        <v>47</v>
      </c>
      <c r="G140"/>
    </row>
    <row r="141" spans="2:7" ht="15">
      <c r="B141" s="103">
        <v>42870</v>
      </c>
      <c r="C141" s="102" t="s">
        <v>79</v>
      </c>
      <c r="D141" s="102">
        <v>59</v>
      </c>
      <c r="E141" s="102">
        <v>45</v>
      </c>
      <c r="G141"/>
    </row>
    <row r="142" spans="2:7" ht="15">
      <c r="B142" s="103">
        <v>42871</v>
      </c>
      <c r="C142" s="102" t="s">
        <v>79</v>
      </c>
      <c r="D142" s="102">
        <v>76</v>
      </c>
      <c r="E142" s="102">
        <v>46</v>
      </c>
      <c r="G142"/>
    </row>
    <row r="143" spans="2:7" ht="15">
      <c r="B143" s="103">
        <v>42872</v>
      </c>
      <c r="C143" s="102" t="s">
        <v>78</v>
      </c>
      <c r="D143" s="102">
        <v>44</v>
      </c>
      <c r="E143" s="102">
        <v>31</v>
      </c>
      <c r="G143"/>
    </row>
    <row r="144" spans="2:7" ht="15">
      <c r="B144" s="103">
        <v>42873</v>
      </c>
      <c r="C144" s="102" t="s">
        <v>78</v>
      </c>
      <c r="D144" s="102">
        <v>58</v>
      </c>
      <c r="E144" s="102">
        <v>61</v>
      </c>
      <c r="G144"/>
    </row>
    <row r="145" spans="2:7" ht="15">
      <c r="B145" s="103">
        <v>42874</v>
      </c>
      <c r="C145" s="102" t="s">
        <v>80</v>
      </c>
      <c r="D145" s="102">
        <v>96</v>
      </c>
      <c r="E145" s="102">
        <v>56</v>
      </c>
      <c r="G145"/>
    </row>
    <row r="146" spans="2:7" ht="15">
      <c r="B146" s="103">
        <v>42875</v>
      </c>
      <c r="C146" s="102" t="s">
        <v>77</v>
      </c>
      <c r="D146" s="102">
        <v>32</v>
      </c>
      <c r="E146" s="102">
        <v>28</v>
      </c>
      <c r="G146"/>
    </row>
    <row r="147" spans="2:7" ht="15">
      <c r="B147" s="103">
        <v>42876</v>
      </c>
      <c r="C147" s="102" t="s">
        <v>80</v>
      </c>
      <c r="D147" s="102">
        <v>35</v>
      </c>
      <c r="E147" s="102">
        <v>72</v>
      </c>
      <c r="G147"/>
    </row>
    <row r="148" spans="2:7" ht="15">
      <c r="B148" s="103">
        <v>42877</v>
      </c>
      <c r="C148" s="102" t="s">
        <v>80</v>
      </c>
      <c r="D148" s="102">
        <v>57</v>
      </c>
      <c r="E148" s="102">
        <v>67</v>
      </c>
      <c r="G148"/>
    </row>
    <row r="149" spans="2:7" ht="15">
      <c r="B149" s="103">
        <v>42878</v>
      </c>
      <c r="C149" s="102" t="s">
        <v>80</v>
      </c>
      <c r="D149" s="102">
        <v>71</v>
      </c>
      <c r="E149" s="102">
        <v>46</v>
      </c>
      <c r="G149"/>
    </row>
    <row r="150" spans="2:7" ht="15">
      <c r="B150" s="103">
        <v>42879</v>
      </c>
      <c r="C150" s="102" t="s">
        <v>80</v>
      </c>
      <c r="D150" s="102">
        <v>84</v>
      </c>
      <c r="E150" s="102">
        <v>28</v>
      </c>
      <c r="G150"/>
    </row>
    <row r="151" spans="2:7" ht="15">
      <c r="B151" s="103">
        <v>42880</v>
      </c>
      <c r="C151" s="102" t="s">
        <v>77</v>
      </c>
      <c r="D151" s="102">
        <v>94</v>
      </c>
      <c r="E151" s="102">
        <v>71</v>
      </c>
      <c r="G151"/>
    </row>
    <row r="152" spans="2:7" ht="15">
      <c r="B152" s="103">
        <v>42881</v>
      </c>
      <c r="C152" s="102" t="s">
        <v>80</v>
      </c>
      <c r="D152" s="102">
        <v>90</v>
      </c>
      <c r="E152" s="102">
        <v>48</v>
      </c>
      <c r="G152"/>
    </row>
    <row r="153" spans="2:7" ht="15">
      <c r="B153" s="103">
        <v>42882</v>
      </c>
      <c r="C153" s="102" t="s">
        <v>79</v>
      </c>
      <c r="D153" s="102">
        <v>58</v>
      </c>
      <c r="E153" s="102">
        <v>89</v>
      </c>
      <c r="G153"/>
    </row>
    <row r="154" spans="2:7" ht="15">
      <c r="B154" s="103">
        <v>42883</v>
      </c>
      <c r="C154" s="102" t="s">
        <v>79</v>
      </c>
      <c r="D154" s="102">
        <v>83</v>
      </c>
      <c r="E154" s="102">
        <v>33</v>
      </c>
      <c r="G154"/>
    </row>
    <row r="155" spans="2:7" ht="15">
      <c r="B155" s="103">
        <v>42884</v>
      </c>
      <c r="C155" s="102" t="s">
        <v>79</v>
      </c>
      <c r="D155" s="102">
        <v>84</v>
      </c>
      <c r="E155" s="102">
        <v>41</v>
      </c>
      <c r="G155"/>
    </row>
    <row r="156" spans="2:7" ht="15">
      <c r="B156" s="103">
        <v>42885</v>
      </c>
      <c r="C156" s="102" t="s">
        <v>79</v>
      </c>
      <c r="D156" s="102">
        <v>39</v>
      </c>
      <c r="E156" s="102">
        <v>25</v>
      </c>
      <c r="G156"/>
    </row>
    <row r="157" spans="2:7" ht="15">
      <c r="B157" s="103">
        <v>42886</v>
      </c>
      <c r="C157" s="102" t="s">
        <v>78</v>
      </c>
      <c r="D157" s="102">
        <v>74</v>
      </c>
      <c r="E157" s="102">
        <v>42</v>
      </c>
      <c r="G157"/>
    </row>
    <row r="158" spans="2:7" ht="15">
      <c r="B158" s="103">
        <v>42887</v>
      </c>
      <c r="C158" s="102" t="s">
        <v>80</v>
      </c>
      <c r="D158" s="102">
        <v>61</v>
      </c>
      <c r="E158" s="102">
        <v>53</v>
      </c>
      <c r="G158"/>
    </row>
    <row r="159" spans="2:7" ht="15">
      <c r="B159" s="103">
        <v>42888</v>
      </c>
      <c r="C159" s="102" t="s">
        <v>80</v>
      </c>
      <c r="D159" s="102">
        <v>32</v>
      </c>
      <c r="E159" s="102">
        <v>81</v>
      </c>
      <c r="G159"/>
    </row>
    <row r="160" spans="2:7" ht="15">
      <c r="B160" s="103">
        <v>42889</v>
      </c>
      <c r="C160" s="102" t="s">
        <v>80</v>
      </c>
      <c r="D160" s="102">
        <v>32</v>
      </c>
      <c r="E160" s="102">
        <v>60</v>
      </c>
      <c r="G160"/>
    </row>
    <row r="161" spans="2:7" ht="15">
      <c r="B161" s="103">
        <v>42890</v>
      </c>
      <c r="C161" s="102" t="s">
        <v>78</v>
      </c>
      <c r="D161" s="102">
        <v>64</v>
      </c>
      <c r="E161" s="102">
        <v>54</v>
      </c>
      <c r="G161"/>
    </row>
    <row r="162" spans="2:7" ht="15">
      <c r="B162" s="103">
        <v>42891</v>
      </c>
      <c r="C162" s="102" t="s">
        <v>78</v>
      </c>
      <c r="D162" s="102">
        <v>69</v>
      </c>
      <c r="E162" s="102">
        <v>93</v>
      </c>
      <c r="G162"/>
    </row>
    <row r="163" spans="2:7" ht="15">
      <c r="B163" s="103">
        <v>42892</v>
      </c>
      <c r="C163" s="102" t="s">
        <v>78</v>
      </c>
      <c r="D163" s="102">
        <v>84</v>
      </c>
      <c r="E163" s="102">
        <v>51</v>
      </c>
      <c r="G163"/>
    </row>
    <row r="164" spans="2:7" ht="15">
      <c r="B164" s="103">
        <v>42893</v>
      </c>
      <c r="C164" s="102" t="s">
        <v>78</v>
      </c>
      <c r="D164" s="102">
        <v>69</v>
      </c>
      <c r="E164" s="102">
        <v>40</v>
      </c>
      <c r="G164"/>
    </row>
    <row r="165" spans="2:7" ht="15">
      <c r="B165" s="103">
        <v>42894</v>
      </c>
      <c r="C165" s="102" t="s">
        <v>78</v>
      </c>
      <c r="D165" s="102">
        <v>38</v>
      </c>
      <c r="E165" s="102">
        <v>39</v>
      </c>
      <c r="G165"/>
    </row>
    <row r="166" spans="2:7" ht="15">
      <c r="B166" s="103">
        <v>42895</v>
      </c>
      <c r="C166" s="102" t="s">
        <v>79</v>
      </c>
      <c r="D166" s="102">
        <v>57</v>
      </c>
      <c r="E166" s="102">
        <v>62</v>
      </c>
      <c r="G166"/>
    </row>
    <row r="167" spans="2:7" ht="15">
      <c r="B167" s="103">
        <v>42896</v>
      </c>
      <c r="C167" s="102" t="s">
        <v>78</v>
      </c>
      <c r="D167" s="102">
        <v>97</v>
      </c>
      <c r="E167" s="102">
        <v>45</v>
      </c>
      <c r="G167"/>
    </row>
    <row r="168" spans="2:7" ht="15">
      <c r="B168" s="103">
        <v>42897</v>
      </c>
      <c r="C168" s="102" t="s">
        <v>77</v>
      </c>
      <c r="D168" s="102">
        <v>44</v>
      </c>
      <c r="E168" s="102">
        <v>91</v>
      </c>
      <c r="G168"/>
    </row>
    <row r="169" spans="2:7" ht="15">
      <c r="B169" s="103">
        <v>42898</v>
      </c>
      <c r="C169" s="102" t="s">
        <v>78</v>
      </c>
      <c r="D169" s="102">
        <v>89</v>
      </c>
      <c r="E169" s="102">
        <v>39</v>
      </c>
      <c r="G169"/>
    </row>
    <row r="170" spans="2:7" ht="15">
      <c r="B170" s="103">
        <v>42899</v>
      </c>
      <c r="C170" s="102" t="s">
        <v>78</v>
      </c>
      <c r="D170" s="102">
        <v>62</v>
      </c>
      <c r="E170" s="102">
        <v>48</v>
      </c>
      <c r="G170"/>
    </row>
    <row r="171" spans="2:7" ht="15">
      <c r="B171" s="103">
        <v>42900</v>
      </c>
      <c r="C171" s="102" t="s">
        <v>77</v>
      </c>
      <c r="D171" s="102">
        <v>90</v>
      </c>
      <c r="E171" s="102">
        <v>100</v>
      </c>
      <c r="G171"/>
    </row>
    <row r="172" spans="2:7" ht="15">
      <c r="B172" s="103">
        <v>42901</v>
      </c>
      <c r="C172" s="102" t="s">
        <v>80</v>
      </c>
      <c r="D172" s="102">
        <v>27</v>
      </c>
      <c r="E172" s="102">
        <v>71</v>
      </c>
      <c r="G172"/>
    </row>
    <row r="173" spans="2:7" ht="15">
      <c r="B173" s="103">
        <v>42902</v>
      </c>
      <c r="C173" s="102" t="s">
        <v>79</v>
      </c>
      <c r="D173" s="102">
        <v>93</v>
      </c>
      <c r="E173" s="102">
        <v>74</v>
      </c>
      <c r="G173"/>
    </row>
    <row r="174" spans="2:7" ht="15">
      <c r="B174" s="103">
        <v>42903</v>
      </c>
      <c r="C174" s="102" t="s">
        <v>79</v>
      </c>
      <c r="D174" s="102">
        <v>52</v>
      </c>
      <c r="E174" s="102">
        <v>78</v>
      </c>
      <c r="G174"/>
    </row>
    <row r="175" spans="2:7" ht="15">
      <c r="B175" s="103">
        <v>42904</v>
      </c>
      <c r="C175" s="102" t="s">
        <v>80</v>
      </c>
      <c r="D175" s="102">
        <v>57</v>
      </c>
      <c r="E175" s="102">
        <v>66</v>
      </c>
      <c r="G175"/>
    </row>
    <row r="176" spans="2:7" ht="15">
      <c r="B176" s="103">
        <v>42905</v>
      </c>
      <c r="C176" s="102" t="s">
        <v>79</v>
      </c>
      <c r="D176" s="102">
        <v>84</v>
      </c>
      <c r="E176" s="102">
        <v>90</v>
      </c>
      <c r="G176"/>
    </row>
    <row r="177" spans="2:7" ht="15">
      <c r="B177" s="103">
        <v>42906</v>
      </c>
      <c r="C177" s="102" t="s">
        <v>79</v>
      </c>
      <c r="D177" s="102">
        <v>59</v>
      </c>
      <c r="E177" s="102">
        <v>42</v>
      </c>
      <c r="G177"/>
    </row>
    <row r="178" spans="2:7" ht="15">
      <c r="B178" s="103">
        <v>42907</v>
      </c>
      <c r="C178" s="102" t="s">
        <v>80</v>
      </c>
      <c r="D178" s="102">
        <v>26</v>
      </c>
      <c r="E178" s="102">
        <v>65</v>
      </c>
      <c r="G178"/>
    </row>
    <row r="179" spans="2:7" ht="15">
      <c r="B179" s="103">
        <v>42908</v>
      </c>
      <c r="C179" s="102" t="s">
        <v>79</v>
      </c>
      <c r="D179" s="102">
        <v>92</v>
      </c>
      <c r="E179" s="102">
        <v>65</v>
      </c>
      <c r="G179"/>
    </row>
    <row r="180" spans="2:7" ht="15">
      <c r="B180" s="103">
        <v>42909</v>
      </c>
      <c r="C180" s="102" t="s">
        <v>79</v>
      </c>
      <c r="D180" s="102">
        <v>40</v>
      </c>
      <c r="E180" s="102">
        <v>93</v>
      </c>
      <c r="G180"/>
    </row>
    <row r="181" spans="2:7" ht="15">
      <c r="B181" s="103">
        <v>42910</v>
      </c>
      <c r="C181" s="102" t="s">
        <v>78</v>
      </c>
      <c r="D181" s="102">
        <v>84</v>
      </c>
      <c r="E181" s="102">
        <v>98</v>
      </c>
      <c r="G181"/>
    </row>
    <row r="182" spans="2:7" ht="15">
      <c r="B182" s="103">
        <v>42911</v>
      </c>
      <c r="C182" s="102" t="s">
        <v>78</v>
      </c>
      <c r="D182" s="102">
        <v>64</v>
      </c>
      <c r="E182" s="102">
        <v>41</v>
      </c>
      <c r="G182"/>
    </row>
    <row r="183" spans="2:7" ht="15">
      <c r="B183" s="103">
        <v>42912</v>
      </c>
      <c r="C183" s="102" t="s">
        <v>77</v>
      </c>
      <c r="D183" s="102">
        <v>47</v>
      </c>
      <c r="E183" s="102">
        <v>41</v>
      </c>
      <c r="G183"/>
    </row>
    <row r="184" spans="2:7" ht="15">
      <c r="B184" s="103">
        <v>42913</v>
      </c>
      <c r="C184" s="102" t="s">
        <v>78</v>
      </c>
      <c r="D184" s="102">
        <v>41</v>
      </c>
      <c r="E184" s="102">
        <v>54</v>
      </c>
      <c r="G184"/>
    </row>
    <row r="185" spans="2:7" ht="15">
      <c r="B185" s="103">
        <v>42914</v>
      </c>
      <c r="C185" s="102" t="s">
        <v>77</v>
      </c>
      <c r="D185" s="102">
        <v>61</v>
      </c>
      <c r="E185" s="102">
        <v>29</v>
      </c>
      <c r="G185"/>
    </row>
    <row r="186" spans="2:7" ht="15">
      <c r="B186" s="103">
        <v>42915</v>
      </c>
      <c r="C186" s="102" t="s">
        <v>79</v>
      </c>
      <c r="D186" s="102">
        <v>48</v>
      </c>
      <c r="E186" s="102">
        <v>92</v>
      </c>
      <c r="G186"/>
    </row>
    <row r="187" spans="2:7" ht="15">
      <c r="B187" s="103">
        <v>42916</v>
      </c>
      <c r="C187" s="102" t="s">
        <v>80</v>
      </c>
      <c r="D187" s="102">
        <v>37</v>
      </c>
      <c r="E187" s="102">
        <v>45</v>
      </c>
      <c r="G187"/>
    </row>
    <row r="188" spans="2:7" ht="15">
      <c r="B188" s="103">
        <v>42917</v>
      </c>
      <c r="C188" s="102" t="s">
        <v>80</v>
      </c>
      <c r="D188" s="102">
        <v>52</v>
      </c>
      <c r="E188" s="102">
        <v>61</v>
      </c>
      <c r="G188"/>
    </row>
    <row r="189" spans="2:7" ht="15">
      <c r="B189" s="103">
        <v>42918</v>
      </c>
      <c r="C189" s="102" t="s">
        <v>79</v>
      </c>
      <c r="D189" s="102">
        <v>29</v>
      </c>
      <c r="E189" s="102">
        <v>85</v>
      </c>
      <c r="G189"/>
    </row>
    <row r="190" spans="2:7" ht="15">
      <c r="B190" s="103">
        <v>42919</v>
      </c>
      <c r="C190" s="102" t="s">
        <v>79</v>
      </c>
      <c r="D190" s="102">
        <v>28</v>
      </c>
      <c r="E190" s="102">
        <v>76</v>
      </c>
      <c r="G190"/>
    </row>
    <row r="191" spans="2:7" ht="15">
      <c r="B191" s="103">
        <v>42920</v>
      </c>
      <c r="C191" s="102" t="s">
        <v>77</v>
      </c>
      <c r="D191" s="102">
        <v>52</v>
      </c>
      <c r="E191" s="102">
        <v>41</v>
      </c>
      <c r="G191"/>
    </row>
    <row r="192" spans="2:7" ht="15">
      <c r="B192" s="103">
        <v>42921</v>
      </c>
      <c r="C192" s="102" t="s">
        <v>79</v>
      </c>
      <c r="D192" s="102">
        <v>49</v>
      </c>
      <c r="E192" s="102">
        <v>59</v>
      </c>
      <c r="G192"/>
    </row>
    <row r="193" spans="2:7" ht="15">
      <c r="B193" s="103">
        <v>42922</v>
      </c>
      <c r="C193" s="102" t="s">
        <v>77</v>
      </c>
      <c r="D193" s="102">
        <v>91</v>
      </c>
      <c r="E193" s="102">
        <v>25</v>
      </c>
      <c r="G193"/>
    </row>
    <row r="194" spans="2:7" ht="15">
      <c r="B194" s="103">
        <v>42923</v>
      </c>
      <c r="C194" s="102" t="s">
        <v>77</v>
      </c>
      <c r="D194" s="102">
        <v>33</v>
      </c>
      <c r="E194" s="102">
        <v>39</v>
      </c>
      <c r="G194"/>
    </row>
    <row r="195" spans="2:7" ht="15">
      <c r="B195" s="103">
        <v>42924</v>
      </c>
      <c r="C195" s="102" t="s">
        <v>80</v>
      </c>
      <c r="D195" s="102">
        <v>68</v>
      </c>
      <c r="E195" s="102">
        <v>26</v>
      </c>
      <c r="G195"/>
    </row>
    <row r="196" spans="2:7" ht="15">
      <c r="B196" s="103">
        <v>42925</v>
      </c>
      <c r="C196" s="102" t="s">
        <v>78</v>
      </c>
      <c r="D196" s="102">
        <v>88</v>
      </c>
      <c r="E196" s="102">
        <v>27</v>
      </c>
      <c r="G196"/>
    </row>
    <row r="197" spans="2:7" ht="15">
      <c r="B197" s="103">
        <v>42926</v>
      </c>
      <c r="C197" s="102" t="s">
        <v>79</v>
      </c>
      <c r="D197" s="102">
        <v>63</v>
      </c>
      <c r="E197" s="102">
        <v>100</v>
      </c>
      <c r="G197"/>
    </row>
    <row r="198" spans="2:7" ht="15">
      <c r="B198" s="103">
        <v>42927</v>
      </c>
      <c r="C198" s="102" t="s">
        <v>79</v>
      </c>
      <c r="D198" s="102">
        <v>27</v>
      </c>
      <c r="E198" s="102">
        <v>86</v>
      </c>
      <c r="G198"/>
    </row>
    <row r="199" spans="2:7" ht="15">
      <c r="B199" s="103">
        <v>42928</v>
      </c>
      <c r="C199" s="102" t="s">
        <v>80</v>
      </c>
      <c r="D199" s="102">
        <v>88</v>
      </c>
      <c r="E199" s="102">
        <v>65</v>
      </c>
      <c r="G199"/>
    </row>
    <row r="200" spans="2:7" ht="15">
      <c r="B200" s="103">
        <v>42929</v>
      </c>
      <c r="C200" s="102" t="s">
        <v>78</v>
      </c>
      <c r="D200" s="102">
        <v>86</v>
      </c>
      <c r="E200" s="102">
        <v>93</v>
      </c>
      <c r="G200"/>
    </row>
    <row r="201" spans="2:7" ht="15">
      <c r="B201" s="103">
        <v>42930</v>
      </c>
      <c r="C201" s="102" t="s">
        <v>80</v>
      </c>
      <c r="D201" s="102">
        <v>54</v>
      </c>
      <c r="E201" s="102">
        <v>60</v>
      </c>
      <c r="G201"/>
    </row>
    <row r="202" spans="2:7" ht="15">
      <c r="B202" s="103">
        <v>42931</v>
      </c>
      <c r="C202" s="102" t="s">
        <v>77</v>
      </c>
      <c r="D202" s="102">
        <v>88</v>
      </c>
      <c r="E202" s="102">
        <v>31</v>
      </c>
      <c r="G202"/>
    </row>
    <row r="203" spans="2:7" ht="15">
      <c r="B203" s="103">
        <v>42932</v>
      </c>
      <c r="C203" s="102" t="s">
        <v>80</v>
      </c>
      <c r="D203" s="102">
        <v>97</v>
      </c>
      <c r="E203" s="102">
        <v>87</v>
      </c>
      <c r="G203"/>
    </row>
    <row r="204" spans="2:7" ht="15">
      <c r="B204" s="103">
        <v>42933</v>
      </c>
      <c r="C204" s="102" t="s">
        <v>77</v>
      </c>
      <c r="D204" s="102">
        <v>85</v>
      </c>
      <c r="E204" s="102">
        <v>48</v>
      </c>
      <c r="G204"/>
    </row>
    <row r="205" spans="2:7" ht="15">
      <c r="B205" s="103">
        <v>42934</v>
      </c>
      <c r="C205" s="102" t="s">
        <v>78</v>
      </c>
      <c r="D205" s="102">
        <v>25</v>
      </c>
      <c r="E205" s="102">
        <v>52</v>
      </c>
      <c r="G205"/>
    </row>
    <row r="206" spans="2:7" ht="15">
      <c r="B206" s="103">
        <v>42935</v>
      </c>
      <c r="C206" s="102" t="s">
        <v>80</v>
      </c>
      <c r="D206" s="102">
        <v>96</v>
      </c>
      <c r="E206" s="102">
        <v>45</v>
      </c>
      <c r="G206"/>
    </row>
    <row r="207" spans="2:7" ht="15">
      <c r="B207" s="103">
        <v>42936</v>
      </c>
      <c r="C207" s="102" t="s">
        <v>80</v>
      </c>
      <c r="D207" s="102">
        <v>63</v>
      </c>
      <c r="E207" s="102">
        <v>60</v>
      </c>
      <c r="G207"/>
    </row>
    <row r="208" spans="2:7" ht="15">
      <c r="B208" s="103">
        <v>42937</v>
      </c>
      <c r="C208" s="102" t="s">
        <v>80</v>
      </c>
      <c r="D208" s="102">
        <v>67</v>
      </c>
      <c r="E208" s="102">
        <v>61</v>
      </c>
      <c r="G208"/>
    </row>
    <row r="209" spans="2:7" ht="15">
      <c r="B209" s="103">
        <v>42938</v>
      </c>
      <c r="C209" s="102" t="s">
        <v>79</v>
      </c>
      <c r="D209" s="102">
        <v>28</v>
      </c>
      <c r="E209" s="102">
        <v>46</v>
      </c>
      <c r="G209"/>
    </row>
    <row r="210" spans="2:7" ht="15">
      <c r="B210" s="103">
        <v>42939</v>
      </c>
      <c r="C210" s="102" t="s">
        <v>78</v>
      </c>
      <c r="D210" s="102">
        <v>68</v>
      </c>
      <c r="E210" s="102">
        <v>77</v>
      </c>
      <c r="G210"/>
    </row>
    <row r="211" spans="2:7" ht="15">
      <c r="B211" s="103">
        <v>42940</v>
      </c>
      <c r="C211" s="102" t="s">
        <v>77</v>
      </c>
      <c r="D211" s="102">
        <v>83</v>
      </c>
      <c r="E211" s="102">
        <v>94</v>
      </c>
      <c r="G211"/>
    </row>
    <row r="212" spans="2:7" ht="15">
      <c r="B212" s="103">
        <v>42941</v>
      </c>
      <c r="C212" s="102" t="s">
        <v>77</v>
      </c>
      <c r="D212" s="102">
        <v>96</v>
      </c>
      <c r="E212" s="102">
        <v>47</v>
      </c>
      <c r="G212"/>
    </row>
    <row r="213" spans="2:7" ht="15">
      <c r="B213" s="103">
        <v>42942</v>
      </c>
      <c r="C213" s="102" t="s">
        <v>77</v>
      </c>
      <c r="D213" s="102">
        <v>62</v>
      </c>
      <c r="E213" s="102">
        <v>99</v>
      </c>
      <c r="G213"/>
    </row>
    <row r="214" spans="2:7" ht="15">
      <c r="B214" s="103">
        <v>42943</v>
      </c>
      <c r="C214" s="102" t="s">
        <v>77</v>
      </c>
      <c r="D214" s="102">
        <v>44</v>
      </c>
      <c r="E214" s="102">
        <v>76</v>
      </c>
      <c r="G214"/>
    </row>
    <row r="215" spans="2:7" ht="15">
      <c r="B215" s="103">
        <v>42944</v>
      </c>
      <c r="C215" s="102" t="s">
        <v>77</v>
      </c>
      <c r="D215" s="102">
        <v>30</v>
      </c>
      <c r="E215" s="102">
        <v>58</v>
      </c>
      <c r="G215"/>
    </row>
    <row r="216" spans="2:7" ht="15">
      <c r="B216" s="103">
        <v>42945</v>
      </c>
      <c r="C216" s="102" t="s">
        <v>78</v>
      </c>
      <c r="D216" s="102">
        <v>89</v>
      </c>
      <c r="E216" s="102">
        <v>40</v>
      </c>
      <c r="G216"/>
    </row>
    <row r="217" spans="2:7" ht="15">
      <c r="B217" s="103">
        <v>42946</v>
      </c>
      <c r="C217" s="102" t="s">
        <v>78</v>
      </c>
      <c r="D217" s="102">
        <v>72</v>
      </c>
      <c r="E217" s="102">
        <v>26</v>
      </c>
      <c r="G217"/>
    </row>
    <row r="218" spans="2:7" ht="15">
      <c r="B218" s="103">
        <v>42947</v>
      </c>
      <c r="C218" s="102" t="s">
        <v>80</v>
      </c>
      <c r="D218" s="102">
        <v>74</v>
      </c>
      <c r="E218" s="102">
        <v>86</v>
      </c>
      <c r="G218"/>
    </row>
    <row r="219" spans="2:7" ht="15">
      <c r="B219" s="103">
        <v>42948</v>
      </c>
      <c r="C219" s="102" t="s">
        <v>77</v>
      </c>
      <c r="D219" s="102">
        <v>40</v>
      </c>
      <c r="E219" s="102">
        <v>81</v>
      </c>
      <c r="G219"/>
    </row>
    <row r="220" spans="2:7" ht="15">
      <c r="B220" s="103">
        <v>42949</v>
      </c>
      <c r="C220" s="102" t="s">
        <v>78</v>
      </c>
      <c r="D220" s="102">
        <v>91</v>
      </c>
      <c r="E220" s="102">
        <v>48</v>
      </c>
      <c r="G220"/>
    </row>
    <row r="221" spans="2:7" ht="15">
      <c r="B221" s="103">
        <v>42950</v>
      </c>
      <c r="C221" s="102" t="s">
        <v>79</v>
      </c>
      <c r="D221" s="102">
        <v>25</v>
      </c>
      <c r="E221" s="102">
        <v>45</v>
      </c>
      <c r="G221"/>
    </row>
    <row r="222" spans="2:7" ht="15">
      <c r="B222" s="103">
        <v>42951</v>
      </c>
      <c r="C222" s="102" t="s">
        <v>78</v>
      </c>
      <c r="D222" s="102">
        <v>94</v>
      </c>
      <c r="E222" s="102">
        <v>54</v>
      </c>
      <c r="G222"/>
    </row>
    <row r="223" spans="2:7" ht="15">
      <c r="B223" s="103">
        <v>42952</v>
      </c>
      <c r="C223" s="102" t="s">
        <v>78</v>
      </c>
      <c r="D223" s="102">
        <v>42</v>
      </c>
      <c r="E223" s="102">
        <v>81</v>
      </c>
      <c r="G223"/>
    </row>
    <row r="224" spans="2:7" ht="15">
      <c r="B224" s="103">
        <v>42953</v>
      </c>
      <c r="C224" s="102" t="s">
        <v>80</v>
      </c>
      <c r="D224" s="102">
        <v>31</v>
      </c>
      <c r="E224" s="102">
        <v>63</v>
      </c>
      <c r="G224"/>
    </row>
    <row r="225" spans="2:7" ht="15">
      <c r="B225" s="103">
        <v>42954</v>
      </c>
      <c r="C225" s="102" t="s">
        <v>78</v>
      </c>
      <c r="D225" s="102">
        <v>68</v>
      </c>
      <c r="E225" s="102">
        <v>61</v>
      </c>
      <c r="G225"/>
    </row>
    <row r="226" spans="2:7" ht="15">
      <c r="B226" s="103">
        <v>42955</v>
      </c>
      <c r="C226" s="102" t="s">
        <v>77</v>
      </c>
      <c r="D226" s="102">
        <v>27</v>
      </c>
      <c r="E226" s="102">
        <v>64</v>
      </c>
      <c r="G226"/>
    </row>
    <row r="227" spans="2:7" ht="15">
      <c r="B227" s="103">
        <v>42956</v>
      </c>
      <c r="C227" s="102" t="s">
        <v>80</v>
      </c>
      <c r="D227" s="102">
        <v>26</v>
      </c>
      <c r="E227" s="102">
        <v>84</v>
      </c>
      <c r="G227"/>
    </row>
    <row r="228" spans="2:7" ht="15">
      <c r="B228" s="103">
        <v>42957</v>
      </c>
      <c r="C228" s="102" t="s">
        <v>80</v>
      </c>
      <c r="D228" s="102">
        <v>52</v>
      </c>
      <c r="E228" s="102">
        <v>95</v>
      </c>
      <c r="G228"/>
    </row>
    <row r="229" spans="2:7" ht="15">
      <c r="B229" s="103">
        <v>42958</v>
      </c>
      <c r="C229" s="102" t="s">
        <v>79</v>
      </c>
      <c r="D229" s="102">
        <v>78</v>
      </c>
      <c r="E229" s="102">
        <v>71</v>
      </c>
      <c r="G229"/>
    </row>
    <row r="230" spans="2:7" ht="15">
      <c r="B230" s="103">
        <v>42959</v>
      </c>
      <c r="C230" s="102" t="s">
        <v>80</v>
      </c>
      <c r="D230" s="102">
        <v>60</v>
      </c>
      <c r="E230" s="102">
        <v>42</v>
      </c>
      <c r="G230"/>
    </row>
    <row r="231" spans="2:7" ht="15">
      <c r="B231" s="103">
        <v>42960</v>
      </c>
      <c r="C231" s="102" t="s">
        <v>77</v>
      </c>
      <c r="D231" s="102">
        <v>90</v>
      </c>
      <c r="E231" s="102">
        <v>100</v>
      </c>
      <c r="G231"/>
    </row>
    <row r="232" spans="2:7" ht="15">
      <c r="B232" s="103">
        <v>42961</v>
      </c>
      <c r="C232" s="102" t="s">
        <v>77</v>
      </c>
      <c r="D232" s="102">
        <v>66</v>
      </c>
      <c r="E232" s="102">
        <v>38</v>
      </c>
      <c r="G232"/>
    </row>
    <row r="233" spans="2:7" ht="15">
      <c r="B233" s="103">
        <v>42962</v>
      </c>
      <c r="C233" s="102" t="s">
        <v>80</v>
      </c>
      <c r="D233" s="102">
        <v>36</v>
      </c>
      <c r="E233" s="102">
        <v>85</v>
      </c>
      <c r="G233"/>
    </row>
    <row r="234" spans="2:7" ht="15">
      <c r="B234" s="103">
        <v>42963</v>
      </c>
      <c r="C234" s="102" t="s">
        <v>79</v>
      </c>
      <c r="D234" s="102">
        <v>57</v>
      </c>
      <c r="E234" s="102">
        <v>56</v>
      </c>
      <c r="G234"/>
    </row>
    <row r="235" spans="2:7" ht="15">
      <c r="B235" s="103">
        <v>42964</v>
      </c>
      <c r="C235" s="102" t="s">
        <v>78</v>
      </c>
      <c r="D235" s="102">
        <v>67</v>
      </c>
      <c r="E235" s="102">
        <v>80</v>
      </c>
      <c r="G235"/>
    </row>
    <row r="236" spans="2:7" ht="15">
      <c r="B236" s="103">
        <v>42965</v>
      </c>
      <c r="C236" s="102" t="s">
        <v>77</v>
      </c>
      <c r="D236" s="102">
        <v>47</v>
      </c>
      <c r="E236" s="102">
        <v>87</v>
      </c>
      <c r="G236"/>
    </row>
    <row r="237" spans="2:7" ht="15">
      <c r="B237" s="103">
        <v>42966</v>
      </c>
      <c r="C237" s="102" t="s">
        <v>79</v>
      </c>
      <c r="D237" s="102">
        <v>30</v>
      </c>
      <c r="E237" s="102">
        <v>31</v>
      </c>
      <c r="G237"/>
    </row>
    <row r="238" spans="2:7" ht="15">
      <c r="B238" s="103">
        <v>42967</v>
      </c>
      <c r="C238" s="102" t="s">
        <v>78</v>
      </c>
      <c r="D238" s="102">
        <v>100</v>
      </c>
      <c r="E238" s="102">
        <v>100</v>
      </c>
      <c r="G238"/>
    </row>
    <row r="239" spans="2:7" ht="15">
      <c r="B239" s="103">
        <v>42968</v>
      </c>
      <c r="C239" s="102" t="s">
        <v>80</v>
      </c>
      <c r="D239" s="102">
        <v>79</v>
      </c>
      <c r="E239" s="102">
        <v>83</v>
      </c>
      <c r="G239"/>
    </row>
    <row r="240" spans="2:7" ht="15">
      <c r="B240" s="103">
        <v>42969</v>
      </c>
      <c r="C240" s="102" t="s">
        <v>80</v>
      </c>
      <c r="D240" s="102">
        <v>71</v>
      </c>
      <c r="E240" s="102">
        <v>46</v>
      </c>
      <c r="G240"/>
    </row>
    <row r="241" spans="2:7" ht="15">
      <c r="B241" s="103">
        <v>42970</v>
      </c>
      <c r="C241" s="102" t="s">
        <v>79</v>
      </c>
      <c r="D241" s="102">
        <v>92</v>
      </c>
      <c r="E241" s="102">
        <v>48</v>
      </c>
      <c r="G241"/>
    </row>
    <row r="242" spans="2:7" ht="15">
      <c r="B242" s="103">
        <v>42971</v>
      </c>
      <c r="C242" s="102" t="s">
        <v>78</v>
      </c>
      <c r="D242" s="102">
        <v>96</v>
      </c>
      <c r="E242" s="102">
        <v>84</v>
      </c>
      <c r="G242"/>
    </row>
    <row r="243" spans="2:7" ht="15">
      <c r="B243" s="103">
        <v>42972</v>
      </c>
      <c r="C243" s="102" t="s">
        <v>79</v>
      </c>
      <c r="D243" s="102">
        <v>34</v>
      </c>
      <c r="E243" s="102">
        <v>46</v>
      </c>
      <c r="G243"/>
    </row>
    <row r="244" spans="2:7" ht="15">
      <c r="B244" s="103">
        <v>42973</v>
      </c>
      <c r="C244" s="102" t="s">
        <v>78</v>
      </c>
      <c r="D244" s="102">
        <v>83</v>
      </c>
      <c r="E244" s="102">
        <v>37</v>
      </c>
      <c r="G244"/>
    </row>
    <row r="245" spans="2:7" ht="15">
      <c r="B245" s="103">
        <v>42974</v>
      </c>
      <c r="C245" s="102" t="s">
        <v>80</v>
      </c>
      <c r="D245" s="102">
        <v>91</v>
      </c>
      <c r="E245" s="102">
        <v>29</v>
      </c>
      <c r="G245"/>
    </row>
    <row r="246" spans="2:7" ht="15">
      <c r="B246" s="103">
        <v>42975</v>
      </c>
      <c r="C246" s="102" t="s">
        <v>79</v>
      </c>
      <c r="D246" s="102">
        <v>85</v>
      </c>
      <c r="E246" s="102">
        <v>45</v>
      </c>
      <c r="G246"/>
    </row>
    <row r="247" spans="2:7" ht="15">
      <c r="B247" s="103">
        <v>42976</v>
      </c>
      <c r="C247" s="102" t="s">
        <v>80</v>
      </c>
      <c r="D247" s="102">
        <v>33</v>
      </c>
      <c r="E247" s="102">
        <v>94</v>
      </c>
      <c r="G247"/>
    </row>
    <row r="248" spans="2:7" ht="15">
      <c r="B248" s="103">
        <v>42977</v>
      </c>
      <c r="C248" s="102" t="s">
        <v>79</v>
      </c>
      <c r="D248" s="102">
        <v>90</v>
      </c>
      <c r="E248" s="102">
        <v>75</v>
      </c>
      <c r="G248"/>
    </row>
    <row r="249" spans="2:7" ht="15">
      <c r="B249" s="103">
        <v>42978</v>
      </c>
      <c r="C249" s="102" t="s">
        <v>79</v>
      </c>
      <c r="D249" s="102">
        <v>35</v>
      </c>
      <c r="E249" s="102">
        <v>59</v>
      </c>
      <c r="G249"/>
    </row>
    <row r="250" spans="2:7" ht="15">
      <c r="B250" s="103">
        <v>42979</v>
      </c>
      <c r="C250" s="102" t="s">
        <v>80</v>
      </c>
      <c r="D250" s="102">
        <v>81</v>
      </c>
      <c r="E250" s="102">
        <v>97</v>
      </c>
      <c r="G250"/>
    </row>
    <row r="251" spans="2:7" ht="15">
      <c r="B251" s="103">
        <v>42980</v>
      </c>
      <c r="C251" s="102" t="s">
        <v>79</v>
      </c>
      <c r="D251" s="102">
        <v>82</v>
      </c>
      <c r="E251" s="102">
        <v>34</v>
      </c>
      <c r="G251"/>
    </row>
    <row r="252" spans="2:7" ht="15">
      <c r="B252" s="103">
        <v>42981</v>
      </c>
      <c r="C252" s="102" t="s">
        <v>79</v>
      </c>
      <c r="D252" s="102">
        <v>76</v>
      </c>
      <c r="E252" s="102">
        <v>30</v>
      </c>
      <c r="G252"/>
    </row>
    <row r="253" spans="2:7" ht="15">
      <c r="B253" s="103">
        <v>42982</v>
      </c>
      <c r="C253" s="102" t="s">
        <v>77</v>
      </c>
      <c r="D253" s="102">
        <v>60</v>
      </c>
      <c r="E253" s="102">
        <v>90</v>
      </c>
      <c r="G253"/>
    </row>
    <row r="254" spans="2:7" ht="15">
      <c r="B254" s="103">
        <v>42983</v>
      </c>
      <c r="C254" s="102" t="s">
        <v>78</v>
      </c>
      <c r="D254" s="102">
        <v>28</v>
      </c>
      <c r="E254" s="102">
        <v>86</v>
      </c>
      <c r="G254"/>
    </row>
    <row r="255" spans="2:7" ht="15">
      <c r="B255" s="103">
        <v>42984</v>
      </c>
      <c r="C255" s="102" t="s">
        <v>80</v>
      </c>
      <c r="D255" s="102">
        <v>29</v>
      </c>
      <c r="E255" s="102">
        <v>100</v>
      </c>
      <c r="G255"/>
    </row>
    <row r="256" spans="2:7" ht="15">
      <c r="B256" s="103">
        <v>42985</v>
      </c>
      <c r="C256" s="102" t="s">
        <v>79</v>
      </c>
      <c r="D256" s="102">
        <v>90</v>
      </c>
      <c r="E256" s="102">
        <v>52</v>
      </c>
      <c r="G256"/>
    </row>
    <row r="257" spans="2:7" ht="15">
      <c r="B257" s="103">
        <v>42986</v>
      </c>
      <c r="C257" s="102" t="s">
        <v>78</v>
      </c>
      <c r="D257" s="102">
        <v>36</v>
      </c>
      <c r="E257" s="102">
        <v>69</v>
      </c>
      <c r="G257"/>
    </row>
    <row r="258" spans="2:7" ht="15">
      <c r="B258" s="103">
        <v>42987</v>
      </c>
      <c r="C258" s="102" t="s">
        <v>78</v>
      </c>
      <c r="D258" s="102">
        <v>48</v>
      </c>
      <c r="E258" s="102">
        <v>26</v>
      </c>
      <c r="G258"/>
    </row>
    <row r="259" spans="2:7" ht="15">
      <c r="B259" s="103">
        <v>42988</v>
      </c>
      <c r="C259" s="102" t="s">
        <v>77</v>
      </c>
      <c r="D259" s="102">
        <v>40</v>
      </c>
      <c r="E259" s="102">
        <v>59</v>
      </c>
      <c r="G259"/>
    </row>
    <row r="260" spans="2:7" ht="15">
      <c r="B260" s="103">
        <v>42989</v>
      </c>
      <c r="C260" s="102" t="s">
        <v>79</v>
      </c>
      <c r="D260" s="102">
        <v>51</v>
      </c>
      <c r="E260" s="102">
        <v>26</v>
      </c>
      <c r="G260"/>
    </row>
    <row r="261" spans="2:7" ht="15">
      <c r="B261" s="103">
        <v>42990</v>
      </c>
      <c r="C261" s="102" t="s">
        <v>77</v>
      </c>
      <c r="D261" s="102">
        <v>82</v>
      </c>
      <c r="E261" s="102">
        <v>68</v>
      </c>
      <c r="G261"/>
    </row>
    <row r="262" spans="2:7" ht="15">
      <c r="B262" s="103">
        <v>42991</v>
      </c>
      <c r="C262" s="102" t="s">
        <v>80</v>
      </c>
      <c r="D262" s="102">
        <v>37</v>
      </c>
      <c r="E262" s="102">
        <v>67</v>
      </c>
      <c r="G262"/>
    </row>
    <row r="263" spans="2:7" ht="15">
      <c r="B263" s="103">
        <v>42992</v>
      </c>
      <c r="C263" s="102" t="s">
        <v>77</v>
      </c>
      <c r="D263" s="102">
        <v>80</v>
      </c>
      <c r="E263" s="102">
        <v>25</v>
      </c>
      <c r="G263"/>
    </row>
    <row r="264" spans="2:7" ht="15">
      <c r="B264" s="103">
        <v>42993</v>
      </c>
      <c r="C264" s="102" t="s">
        <v>80</v>
      </c>
      <c r="D264" s="102">
        <v>94</v>
      </c>
      <c r="E264" s="102">
        <v>66</v>
      </c>
      <c r="G264"/>
    </row>
    <row r="265" spans="2:7" ht="15">
      <c r="B265" s="103">
        <v>42994</v>
      </c>
      <c r="C265" s="102" t="s">
        <v>77</v>
      </c>
      <c r="D265" s="102">
        <v>26</v>
      </c>
      <c r="E265" s="102">
        <v>78</v>
      </c>
      <c r="G265"/>
    </row>
    <row r="266" spans="2:7" ht="15">
      <c r="B266" s="103">
        <v>42995</v>
      </c>
      <c r="C266" s="102" t="s">
        <v>77</v>
      </c>
      <c r="D266" s="102">
        <v>71</v>
      </c>
      <c r="E266" s="102">
        <v>77</v>
      </c>
      <c r="G266"/>
    </row>
    <row r="267" spans="2:7" ht="15">
      <c r="B267" s="103">
        <v>42996</v>
      </c>
      <c r="C267" s="102" t="s">
        <v>77</v>
      </c>
      <c r="D267" s="102">
        <v>89</v>
      </c>
      <c r="E267" s="102">
        <v>89</v>
      </c>
      <c r="G267"/>
    </row>
    <row r="268" spans="2:7" ht="15">
      <c r="B268" s="103">
        <v>42997</v>
      </c>
      <c r="C268" s="102" t="s">
        <v>77</v>
      </c>
      <c r="D268" s="102">
        <v>42</v>
      </c>
      <c r="E268" s="102">
        <v>91</v>
      </c>
      <c r="G268"/>
    </row>
    <row r="269" spans="2:7" ht="15">
      <c r="B269" s="103">
        <v>42998</v>
      </c>
      <c r="C269" s="102" t="s">
        <v>78</v>
      </c>
      <c r="D269" s="102">
        <v>93</v>
      </c>
      <c r="E269" s="102">
        <v>83</v>
      </c>
      <c r="G269"/>
    </row>
    <row r="270" spans="2:7" ht="15">
      <c r="B270" s="103">
        <v>42999</v>
      </c>
      <c r="C270" s="102" t="s">
        <v>79</v>
      </c>
      <c r="D270" s="102">
        <v>63</v>
      </c>
      <c r="E270" s="102">
        <v>97</v>
      </c>
      <c r="G270"/>
    </row>
    <row r="271" spans="2:7" ht="15">
      <c r="B271" s="103">
        <v>43000</v>
      </c>
      <c r="C271" s="102" t="s">
        <v>80</v>
      </c>
      <c r="D271" s="102">
        <v>31</v>
      </c>
      <c r="E271" s="102">
        <v>38</v>
      </c>
      <c r="G271"/>
    </row>
    <row r="272" spans="2:7" ht="15">
      <c r="B272" s="103">
        <v>43001</v>
      </c>
      <c r="C272" s="102" t="s">
        <v>77</v>
      </c>
      <c r="D272" s="102">
        <v>100</v>
      </c>
      <c r="E272" s="102">
        <v>80</v>
      </c>
      <c r="G272"/>
    </row>
    <row r="273" spans="2:7" ht="15">
      <c r="B273" s="103">
        <v>43002</v>
      </c>
      <c r="C273" s="102" t="s">
        <v>80</v>
      </c>
      <c r="D273" s="102">
        <v>60</v>
      </c>
      <c r="E273" s="102">
        <v>56</v>
      </c>
      <c r="G273"/>
    </row>
    <row r="274" spans="2:7" ht="15">
      <c r="B274" s="103">
        <v>43003</v>
      </c>
      <c r="C274" s="102" t="s">
        <v>80</v>
      </c>
      <c r="D274" s="102">
        <v>77</v>
      </c>
      <c r="E274" s="102">
        <v>56</v>
      </c>
      <c r="G274"/>
    </row>
    <row r="275" spans="2:7" ht="15">
      <c r="B275" s="103">
        <v>43004</v>
      </c>
      <c r="C275" s="102" t="s">
        <v>77</v>
      </c>
      <c r="D275" s="102">
        <v>47</v>
      </c>
      <c r="E275" s="102">
        <v>77</v>
      </c>
      <c r="G275"/>
    </row>
    <row r="276" spans="2:7" ht="15">
      <c r="B276" s="103">
        <v>43005</v>
      </c>
      <c r="C276" s="102" t="s">
        <v>80</v>
      </c>
      <c r="D276" s="102">
        <v>59</v>
      </c>
      <c r="E276" s="102">
        <v>91</v>
      </c>
      <c r="G276"/>
    </row>
    <row r="277" spans="2:7" ht="15">
      <c r="B277" s="103">
        <v>43006</v>
      </c>
      <c r="C277" s="102" t="s">
        <v>78</v>
      </c>
      <c r="D277" s="102">
        <v>43</v>
      </c>
      <c r="E277" s="102">
        <v>77</v>
      </c>
      <c r="G277"/>
    </row>
    <row r="278" spans="2:7" ht="15">
      <c r="B278" s="103">
        <v>43007</v>
      </c>
      <c r="C278" s="102" t="s">
        <v>78</v>
      </c>
      <c r="D278" s="102">
        <v>69</v>
      </c>
      <c r="E278" s="102">
        <v>59</v>
      </c>
      <c r="G278"/>
    </row>
    <row r="279" spans="2:7" ht="15">
      <c r="B279" s="103">
        <v>43008</v>
      </c>
      <c r="C279" s="102" t="s">
        <v>77</v>
      </c>
      <c r="D279" s="102">
        <v>39</v>
      </c>
      <c r="E279" s="102">
        <v>70</v>
      </c>
      <c r="G279"/>
    </row>
    <row r="280" spans="2:7" ht="15">
      <c r="B280" s="103">
        <v>43009</v>
      </c>
      <c r="C280" s="102" t="s">
        <v>80</v>
      </c>
      <c r="D280" s="102">
        <v>25</v>
      </c>
      <c r="E280" s="102">
        <v>82</v>
      </c>
      <c r="G280"/>
    </row>
    <row r="281" spans="2:7" ht="15">
      <c r="B281" s="103">
        <v>43010</v>
      </c>
      <c r="C281" s="102" t="s">
        <v>79</v>
      </c>
      <c r="D281" s="102">
        <v>86</v>
      </c>
      <c r="E281" s="102">
        <v>27</v>
      </c>
      <c r="G281"/>
    </row>
    <row r="282" spans="2:7" ht="15">
      <c r="B282" s="103">
        <v>43011</v>
      </c>
      <c r="C282" s="102" t="s">
        <v>77</v>
      </c>
      <c r="D282" s="102">
        <v>49</v>
      </c>
      <c r="E282" s="102">
        <v>31</v>
      </c>
      <c r="G282"/>
    </row>
    <row r="283" spans="2:7" ht="15">
      <c r="B283" s="103">
        <v>43012</v>
      </c>
      <c r="C283" s="102" t="s">
        <v>78</v>
      </c>
      <c r="D283" s="102">
        <v>86</v>
      </c>
      <c r="E283" s="102">
        <v>60</v>
      </c>
      <c r="G283"/>
    </row>
    <row r="284" spans="2:7" ht="15">
      <c r="B284" s="103">
        <v>43013</v>
      </c>
      <c r="C284" s="102" t="s">
        <v>80</v>
      </c>
      <c r="D284" s="102">
        <v>45</v>
      </c>
      <c r="E284" s="102">
        <v>31</v>
      </c>
      <c r="G284"/>
    </row>
    <row r="285" spans="2:7" ht="15">
      <c r="B285" s="103">
        <v>43014</v>
      </c>
      <c r="C285" s="102" t="s">
        <v>78</v>
      </c>
      <c r="D285" s="102">
        <v>91</v>
      </c>
      <c r="E285" s="102">
        <v>69</v>
      </c>
      <c r="G285"/>
    </row>
    <row r="286" spans="2:7" ht="15">
      <c r="B286" s="103">
        <v>43015</v>
      </c>
      <c r="C286" s="102" t="s">
        <v>79</v>
      </c>
      <c r="D286" s="102">
        <v>55</v>
      </c>
      <c r="E286" s="102">
        <v>90</v>
      </c>
      <c r="G286"/>
    </row>
    <row r="287" spans="2:7" ht="15">
      <c r="B287" s="103">
        <v>43016</v>
      </c>
      <c r="C287" s="102" t="s">
        <v>80</v>
      </c>
      <c r="D287" s="102">
        <v>62</v>
      </c>
      <c r="E287" s="102">
        <v>64</v>
      </c>
      <c r="G287"/>
    </row>
    <row r="288" spans="2:7" ht="15">
      <c r="B288" s="103">
        <v>43017</v>
      </c>
      <c r="C288" s="102" t="s">
        <v>78</v>
      </c>
      <c r="D288" s="102">
        <v>44</v>
      </c>
      <c r="E288" s="102">
        <v>61</v>
      </c>
      <c r="G288"/>
    </row>
    <row r="289" spans="2:7" ht="15">
      <c r="B289" s="103">
        <v>43018</v>
      </c>
      <c r="C289" s="102" t="s">
        <v>79</v>
      </c>
      <c r="D289" s="102">
        <v>39</v>
      </c>
      <c r="E289" s="102">
        <v>95</v>
      </c>
      <c r="G289"/>
    </row>
    <row r="290" spans="2:7" ht="15">
      <c r="B290" s="103">
        <v>43019</v>
      </c>
      <c r="C290" s="102" t="s">
        <v>78</v>
      </c>
      <c r="D290" s="102">
        <v>69</v>
      </c>
      <c r="E290" s="102">
        <v>75</v>
      </c>
      <c r="G290"/>
    </row>
    <row r="291" spans="2:7" ht="15">
      <c r="B291" s="103">
        <v>43020</v>
      </c>
      <c r="C291" s="102" t="s">
        <v>80</v>
      </c>
      <c r="D291" s="102">
        <v>56</v>
      </c>
      <c r="E291" s="102">
        <v>56</v>
      </c>
      <c r="G291"/>
    </row>
    <row r="292" spans="2:7" ht="15">
      <c r="B292" s="103">
        <v>43021</v>
      </c>
      <c r="C292" s="102" t="s">
        <v>77</v>
      </c>
      <c r="D292" s="102">
        <v>73</v>
      </c>
      <c r="E292" s="102">
        <v>87</v>
      </c>
      <c r="G292"/>
    </row>
    <row r="293" spans="2:7" ht="15">
      <c r="B293" s="103">
        <v>43022</v>
      </c>
      <c r="C293" s="102" t="s">
        <v>80</v>
      </c>
      <c r="D293" s="102">
        <v>91</v>
      </c>
      <c r="E293" s="102">
        <v>82</v>
      </c>
      <c r="G293"/>
    </row>
    <row r="294" spans="2:7" ht="15">
      <c r="B294" s="103">
        <v>43023</v>
      </c>
      <c r="C294" s="102" t="s">
        <v>80</v>
      </c>
      <c r="D294" s="102">
        <v>63</v>
      </c>
      <c r="E294" s="102">
        <v>44</v>
      </c>
      <c r="G294"/>
    </row>
    <row r="295" spans="2:7" ht="15">
      <c r="B295" s="103">
        <v>43024</v>
      </c>
      <c r="C295" s="102" t="s">
        <v>78</v>
      </c>
      <c r="D295" s="102">
        <v>55</v>
      </c>
      <c r="E295" s="102">
        <v>59</v>
      </c>
      <c r="G295"/>
    </row>
    <row r="296" spans="2:7" ht="15">
      <c r="B296" s="103">
        <v>43025</v>
      </c>
      <c r="C296" s="102" t="s">
        <v>78</v>
      </c>
      <c r="D296" s="102">
        <v>88</v>
      </c>
      <c r="E296" s="102">
        <v>69</v>
      </c>
      <c r="G296"/>
    </row>
    <row r="297" spans="2:7" ht="15">
      <c r="B297" s="103">
        <v>43026</v>
      </c>
      <c r="C297" s="102" t="s">
        <v>77</v>
      </c>
      <c r="D297" s="102">
        <v>92</v>
      </c>
      <c r="E297" s="102">
        <v>99</v>
      </c>
      <c r="G297"/>
    </row>
    <row r="298" spans="2:7" ht="15">
      <c r="B298" s="103">
        <v>43027</v>
      </c>
      <c r="C298" s="102" t="s">
        <v>80</v>
      </c>
      <c r="D298" s="102">
        <v>31</v>
      </c>
      <c r="E298" s="102">
        <v>31</v>
      </c>
      <c r="G298"/>
    </row>
    <row r="299" spans="2:7" ht="15">
      <c r="B299" s="103">
        <v>43028</v>
      </c>
      <c r="C299" s="102" t="s">
        <v>79</v>
      </c>
      <c r="D299" s="102">
        <v>44</v>
      </c>
      <c r="E299" s="102">
        <v>31</v>
      </c>
      <c r="G299"/>
    </row>
    <row r="300" spans="2:7" ht="15">
      <c r="B300" s="103">
        <v>43029</v>
      </c>
      <c r="C300" s="102" t="s">
        <v>77</v>
      </c>
      <c r="D300" s="102">
        <v>88</v>
      </c>
      <c r="E300" s="102">
        <v>95</v>
      </c>
      <c r="G300"/>
    </row>
    <row r="301" spans="2:7" ht="15">
      <c r="B301" s="103">
        <v>43030</v>
      </c>
      <c r="C301" s="102" t="s">
        <v>77</v>
      </c>
      <c r="D301" s="102">
        <v>36</v>
      </c>
      <c r="E301" s="102">
        <v>95</v>
      </c>
      <c r="G301"/>
    </row>
    <row r="302" spans="2:7" ht="15">
      <c r="B302" s="103">
        <v>43031</v>
      </c>
      <c r="C302" s="102" t="s">
        <v>77</v>
      </c>
      <c r="D302" s="102">
        <v>52</v>
      </c>
      <c r="E302" s="102">
        <v>57</v>
      </c>
      <c r="G302"/>
    </row>
    <row r="303" spans="2:7" ht="15">
      <c r="B303" s="103">
        <v>43032</v>
      </c>
      <c r="C303" s="102" t="s">
        <v>77</v>
      </c>
      <c r="D303" s="102">
        <v>88</v>
      </c>
      <c r="E303" s="102">
        <v>29</v>
      </c>
      <c r="G303"/>
    </row>
    <row r="304" spans="2:7" ht="15">
      <c r="B304" s="103">
        <v>43033</v>
      </c>
      <c r="C304" s="102" t="s">
        <v>80</v>
      </c>
      <c r="D304" s="102">
        <v>38</v>
      </c>
      <c r="E304" s="102">
        <v>57</v>
      </c>
      <c r="G304"/>
    </row>
    <row r="305" spans="2:7" ht="15">
      <c r="B305" s="103">
        <v>43034</v>
      </c>
      <c r="C305" s="102" t="s">
        <v>78</v>
      </c>
      <c r="D305" s="102">
        <v>28</v>
      </c>
      <c r="E305" s="102">
        <v>100</v>
      </c>
      <c r="G305"/>
    </row>
    <row r="306" spans="2:7" ht="15">
      <c r="B306" s="103">
        <v>43035</v>
      </c>
      <c r="C306" s="102" t="s">
        <v>79</v>
      </c>
      <c r="D306" s="102">
        <v>58</v>
      </c>
      <c r="E306" s="102">
        <v>73</v>
      </c>
      <c r="G306"/>
    </row>
    <row r="307" spans="2:7" ht="15">
      <c r="B307" s="103">
        <v>43036</v>
      </c>
      <c r="C307" s="102" t="s">
        <v>79</v>
      </c>
      <c r="D307" s="102">
        <v>90</v>
      </c>
      <c r="E307" s="102">
        <v>71</v>
      </c>
      <c r="G307"/>
    </row>
    <row r="308" spans="2:7" ht="15">
      <c r="B308" s="103">
        <v>43037</v>
      </c>
      <c r="C308" s="102" t="s">
        <v>80</v>
      </c>
      <c r="D308" s="102">
        <v>55</v>
      </c>
      <c r="E308" s="102">
        <v>83</v>
      </c>
      <c r="G308"/>
    </row>
    <row r="309" spans="2:7" ht="15">
      <c r="B309" s="103">
        <v>43038</v>
      </c>
      <c r="C309" s="102" t="s">
        <v>79</v>
      </c>
      <c r="D309" s="102">
        <v>37</v>
      </c>
      <c r="E309" s="102">
        <v>69</v>
      </c>
      <c r="G309"/>
    </row>
    <row r="310" spans="2:7" ht="15">
      <c r="B310" s="103">
        <v>43039</v>
      </c>
      <c r="C310" s="102" t="s">
        <v>78</v>
      </c>
      <c r="D310" s="102">
        <v>71</v>
      </c>
      <c r="E310" s="102">
        <v>71</v>
      </c>
      <c r="G310"/>
    </row>
    <row r="311" spans="2:7" ht="15">
      <c r="B311" s="103">
        <v>43040</v>
      </c>
      <c r="C311" s="102" t="s">
        <v>79</v>
      </c>
      <c r="D311" s="102">
        <v>32</v>
      </c>
      <c r="E311" s="102">
        <v>57</v>
      </c>
      <c r="G311"/>
    </row>
    <row r="312" spans="2:7" ht="15">
      <c r="B312" s="103">
        <v>43041</v>
      </c>
      <c r="C312" s="102" t="s">
        <v>78</v>
      </c>
      <c r="D312" s="102">
        <v>62</v>
      </c>
      <c r="E312" s="102">
        <v>83</v>
      </c>
      <c r="G312"/>
    </row>
    <row r="313" spans="2:7" ht="15">
      <c r="B313" s="103">
        <v>43042</v>
      </c>
      <c r="C313" s="102" t="s">
        <v>78</v>
      </c>
      <c r="D313" s="102">
        <v>44</v>
      </c>
      <c r="E313" s="102">
        <v>69</v>
      </c>
      <c r="G313"/>
    </row>
    <row r="314" spans="2:7" ht="15">
      <c r="B314" s="103">
        <v>43043</v>
      </c>
      <c r="C314" s="102" t="s">
        <v>78</v>
      </c>
      <c r="D314" s="102">
        <v>88</v>
      </c>
      <c r="E314" s="102">
        <v>92</v>
      </c>
      <c r="G314"/>
    </row>
    <row r="315" spans="2:7" ht="15">
      <c r="B315" s="103">
        <v>43044</v>
      </c>
      <c r="C315" s="102" t="s">
        <v>77</v>
      </c>
      <c r="D315" s="102">
        <v>73</v>
      </c>
      <c r="E315" s="102">
        <v>100</v>
      </c>
      <c r="G315"/>
    </row>
    <row r="316" spans="2:7" ht="15">
      <c r="B316" s="103">
        <v>43045</v>
      </c>
      <c r="C316" s="102" t="s">
        <v>77</v>
      </c>
      <c r="D316" s="102">
        <v>82</v>
      </c>
      <c r="E316" s="102">
        <v>47</v>
      </c>
      <c r="G316"/>
    </row>
    <row r="317" spans="2:7" ht="15">
      <c r="B317" s="103">
        <v>43046</v>
      </c>
      <c r="C317" s="102" t="s">
        <v>79</v>
      </c>
      <c r="D317" s="102">
        <v>86</v>
      </c>
      <c r="E317" s="102">
        <v>35</v>
      </c>
      <c r="G317"/>
    </row>
    <row r="318" spans="2:7" ht="15">
      <c r="B318" s="103">
        <v>43047</v>
      </c>
      <c r="C318" s="102" t="s">
        <v>80</v>
      </c>
      <c r="D318" s="102">
        <v>48</v>
      </c>
      <c r="E318" s="102">
        <v>57</v>
      </c>
      <c r="G318"/>
    </row>
    <row r="319" spans="2:7" ht="15">
      <c r="B319" s="103">
        <v>43048</v>
      </c>
      <c r="C319" s="102" t="s">
        <v>80</v>
      </c>
      <c r="D319" s="102">
        <v>92</v>
      </c>
      <c r="E319" s="102">
        <v>25</v>
      </c>
      <c r="G319"/>
    </row>
    <row r="320" spans="2:7" ht="15">
      <c r="B320" s="103">
        <v>43049</v>
      </c>
      <c r="C320" s="102" t="s">
        <v>79</v>
      </c>
      <c r="D320" s="102">
        <v>79</v>
      </c>
      <c r="E320" s="102">
        <v>83</v>
      </c>
      <c r="G320"/>
    </row>
    <row r="321" spans="2:7" ht="15">
      <c r="B321" s="103">
        <v>43050</v>
      </c>
      <c r="C321" s="102" t="s">
        <v>80</v>
      </c>
      <c r="D321" s="102">
        <v>74</v>
      </c>
      <c r="E321" s="102">
        <v>36</v>
      </c>
      <c r="G321"/>
    </row>
    <row r="322" spans="2:7" ht="15">
      <c r="B322" s="103">
        <v>43051</v>
      </c>
      <c r="C322" s="102" t="s">
        <v>78</v>
      </c>
      <c r="D322" s="102">
        <v>35</v>
      </c>
      <c r="E322" s="102">
        <v>76</v>
      </c>
      <c r="G322"/>
    </row>
    <row r="323" spans="2:7" ht="15">
      <c r="B323" s="103">
        <v>43052</v>
      </c>
      <c r="C323" s="102" t="s">
        <v>79</v>
      </c>
      <c r="D323" s="102">
        <v>46</v>
      </c>
      <c r="E323" s="102">
        <v>44</v>
      </c>
      <c r="G323"/>
    </row>
    <row r="324" spans="2:7" ht="15">
      <c r="B324" s="103">
        <v>43053</v>
      </c>
      <c r="C324" s="102" t="s">
        <v>80</v>
      </c>
      <c r="D324" s="102">
        <v>88</v>
      </c>
      <c r="E324" s="102">
        <v>62</v>
      </c>
      <c r="G324"/>
    </row>
    <row r="325" spans="2:7" ht="15">
      <c r="B325" s="103">
        <v>43054</v>
      </c>
      <c r="C325" s="102" t="s">
        <v>77</v>
      </c>
      <c r="D325" s="102">
        <v>35</v>
      </c>
      <c r="E325" s="102">
        <v>66</v>
      </c>
      <c r="G325"/>
    </row>
    <row r="326" spans="2:7" ht="15">
      <c r="B326" s="103">
        <v>43055</v>
      </c>
      <c r="C326" s="102" t="s">
        <v>79</v>
      </c>
      <c r="D326" s="102">
        <v>88</v>
      </c>
      <c r="E326" s="102">
        <v>80</v>
      </c>
      <c r="G326"/>
    </row>
    <row r="327" spans="2:7" ht="15">
      <c r="B327" s="103">
        <v>43056</v>
      </c>
      <c r="C327" s="102" t="s">
        <v>80</v>
      </c>
      <c r="D327" s="102">
        <v>84</v>
      </c>
      <c r="E327" s="102">
        <v>74</v>
      </c>
      <c r="G327"/>
    </row>
    <row r="328" spans="2:7" ht="15">
      <c r="B328" s="103">
        <v>43057</v>
      </c>
      <c r="C328" s="102" t="s">
        <v>80</v>
      </c>
      <c r="D328" s="102">
        <v>95</v>
      </c>
      <c r="E328" s="102">
        <v>39</v>
      </c>
      <c r="G328"/>
    </row>
    <row r="329" spans="2:7" ht="15">
      <c r="B329" s="103">
        <v>43058</v>
      </c>
      <c r="C329" s="102" t="s">
        <v>80</v>
      </c>
      <c r="D329" s="102">
        <v>59</v>
      </c>
      <c r="E329" s="102">
        <v>64</v>
      </c>
      <c r="G329"/>
    </row>
    <row r="330" spans="2:7" ht="15">
      <c r="B330" s="103">
        <v>43059</v>
      </c>
      <c r="C330" s="102" t="s">
        <v>79</v>
      </c>
      <c r="D330" s="102">
        <v>79</v>
      </c>
      <c r="E330" s="102">
        <v>41</v>
      </c>
      <c r="G330"/>
    </row>
    <row r="331" spans="2:7" ht="15">
      <c r="B331" s="103">
        <v>43060</v>
      </c>
      <c r="C331" s="102" t="s">
        <v>78</v>
      </c>
      <c r="D331" s="102">
        <v>32</v>
      </c>
      <c r="E331" s="102">
        <v>95</v>
      </c>
      <c r="G331"/>
    </row>
    <row r="332" spans="2:7" ht="15">
      <c r="B332" s="103">
        <v>43061</v>
      </c>
      <c r="C332" s="102" t="s">
        <v>79</v>
      </c>
      <c r="D332" s="102">
        <v>93</v>
      </c>
      <c r="E332" s="102">
        <v>29</v>
      </c>
      <c r="G332"/>
    </row>
    <row r="333" spans="2:7" ht="15">
      <c r="B333" s="103">
        <v>43062</v>
      </c>
      <c r="C333" s="102" t="s">
        <v>77</v>
      </c>
      <c r="D333" s="102">
        <v>97</v>
      </c>
      <c r="E333" s="102">
        <v>76</v>
      </c>
      <c r="G333"/>
    </row>
    <row r="334" spans="2:7" ht="15">
      <c r="B334" s="103">
        <v>43063</v>
      </c>
      <c r="C334" s="102" t="s">
        <v>78</v>
      </c>
      <c r="D334" s="102">
        <v>73</v>
      </c>
      <c r="E334" s="102">
        <v>27</v>
      </c>
      <c r="G334"/>
    </row>
    <row r="335" spans="2:7" ht="15">
      <c r="B335" s="103">
        <v>43064</v>
      </c>
      <c r="C335" s="102" t="s">
        <v>80</v>
      </c>
      <c r="D335" s="102">
        <v>82</v>
      </c>
      <c r="E335" s="102">
        <v>38</v>
      </c>
      <c r="G335"/>
    </row>
    <row r="336" spans="2:7" ht="15">
      <c r="B336" s="103">
        <v>43065</v>
      </c>
      <c r="C336" s="102" t="s">
        <v>77</v>
      </c>
      <c r="D336" s="102">
        <v>52</v>
      </c>
      <c r="E336" s="102">
        <v>96</v>
      </c>
      <c r="G336"/>
    </row>
    <row r="337" spans="2:7" ht="15">
      <c r="B337" s="103">
        <v>43066</v>
      </c>
      <c r="C337" s="102" t="s">
        <v>79</v>
      </c>
      <c r="D337" s="102">
        <v>57</v>
      </c>
      <c r="E337" s="102">
        <v>43</v>
      </c>
      <c r="G337"/>
    </row>
    <row r="338" spans="2:7" ht="15">
      <c r="B338" s="103">
        <v>43067</v>
      </c>
      <c r="C338" s="102" t="s">
        <v>78</v>
      </c>
      <c r="D338" s="102">
        <v>86</v>
      </c>
      <c r="E338" s="102">
        <v>42</v>
      </c>
      <c r="G338"/>
    </row>
    <row r="339" spans="2:7" ht="15">
      <c r="B339" s="103">
        <v>43068</v>
      </c>
      <c r="C339" s="102" t="s">
        <v>80</v>
      </c>
      <c r="D339" s="102">
        <v>38</v>
      </c>
      <c r="E339" s="102">
        <v>53</v>
      </c>
      <c r="G339"/>
    </row>
    <row r="340" spans="2:7" ht="15">
      <c r="B340" s="103">
        <v>43069</v>
      </c>
      <c r="C340" s="102" t="s">
        <v>77</v>
      </c>
      <c r="D340" s="102">
        <v>62</v>
      </c>
      <c r="E340" s="102">
        <v>32</v>
      </c>
      <c r="G340"/>
    </row>
    <row r="341" spans="2:7" ht="15">
      <c r="B341" s="103">
        <v>43070</v>
      </c>
      <c r="C341" s="102" t="s">
        <v>78</v>
      </c>
      <c r="D341" s="102">
        <v>78</v>
      </c>
      <c r="E341" s="102">
        <v>67</v>
      </c>
      <c r="G341"/>
    </row>
    <row r="342" spans="2:7" ht="15">
      <c r="B342" s="103">
        <v>43071</v>
      </c>
      <c r="C342" s="102" t="s">
        <v>77</v>
      </c>
      <c r="D342" s="102">
        <v>92</v>
      </c>
      <c r="E342" s="102">
        <v>88</v>
      </c>
      <c r="G342"/>
    </row>
    <row r="343" spans="2:7" ht="15">
      <c r="B343" s="103">
        <v>43072</v>
      </c>
      <c r="C343" s="102" t="s">
        <v>78</v>
      </c>
      <c r="D343" s="102">
        <v>95</v>
      </c>
      <c r="E343" s="102">
        <v>41</v>
      </c>
      <c r="G343"/>
    </row>
    <row r="344" spans="2:7" ht="15">
      <c r="B344" s="103">
        <v>43073</v>
      </c>
      <c r="C344" s="102" t="s">
        <v>78</v>
      </c>
      <c r="D344" s="102">
        <v>36</v>
      </c>
      <c r="E344" s="102">
        <v>65</v>
      </c>
      <c r="G344"/>
    </row>
    <row r="345" spans="2:7" ht="15">
      <c r="B345" s="103">
        <v>43074</v>
      </c>
      <c r="C345" s="102" t="s">
        <v>77</v>
      </c>
      <c r="D345" s="102">
        <v>87</v>
      </c>
      <c r="E345" s="102">
        <v>25</v>
      </c>
      <c r="G345"/>
    </row>
    <row r="346" spans="2:7" ht="15">
      <c r="B346" s="103">
        <v>43075</v>
      </c>
      <c r="C346" s="102" t="s">
        <v>80</v>
      </c>
      <c r="D346" s="102">
        <v>95</v>
      </c>
      <c r="E346" s="102">
        <v>92</v>
      </c>
      <c r="G346"/>
    </row>
    <row r="347" spans="2:7" ht="15">
      <c r="B347" s="103">
        <v>43076</v>
      </c>
      <c r="C347" s="102" t="s">
        <v>77</v>
      </c>
      <c r="D347" s="102">
        <v>64</v>
      </c>
      <c r="E347" s="102">
        <v>47</v>
      </c>
      <c r="G347"/>
    </row>
    <row r="348" spans="2:7" ht="15">
      <c r="B348" s="103">
        <v>43077</v>
      </c>
      <c r="C348" s="102" t="s">
        <v>79</v>
      </c>
      <c r="D348" s="102">
        <v>51</v>
      </c>
      <c r="E348" s="102">
        <v>63</v>
      </c>
      <c r="G348"/>
    </row>
    <row r="349" spans="2:7" ht="15">
      <c r="B349" s="103">
        <v>43078</v>
      </c>
      <c r="C349" s="102" t="s">
        <v>80</v>
      </c>
      <c r="D349" s="102">
        <v>48</v>
      </c>
      <c r="E349" s="102">
        <v>73</v>
      </c>
      <c r="G349"/>
    </row>
    <row r="350" spans="2:7" ht="15">
      <c r="B350" s="103">
        <v>43079</v>
      </c>
      <c r="C350" s="102" t="s">
        <v>79</v>
      </c>
      <c r="D350" s="102">
        <v>80</v>
      </c>
      <c r="E350" s="102">
        <v>40</v>
      </c>
      <c r="G350"/>
    </row>
    <row r="351" spans="2:7" ht="15">
      <c r="B351" s="103">
        <v>43080</v>
      </c>
      <c r="C351" s="102" t="s">
        <v>78</v>
      </c>
      <c r="D351" s="102">
        <v>72</v>
      </c>
      <c r="E351" s="102">
        <v>34</v>
      </c>
      <c r="G351"/>
    </row>
    <row r="352" spans="2:7" ht="15">
      <c r="B352" s="103">
        <v>43081</v>
      </c>
      <c r="C352" s="102" t="s">
        <v>77</v>
      </c>
      <c r="D352" s="102">
        <v>27</v>
      </c>
      <c r="E352" s="102">
        <v>95</v>
      </c>
      <c r="G352"/>
    </row>
    <row r="353" spans="2:7" ht="15">
      <c r="B353" s="103">
        <v>43082</v>
      </c>
      <c r="C353" s="102" t="s">
        <v>79</v>
      </c>
      <c r="D353" s="102">
        <v>36</v>
      </c>
      <c r="E353" s="102">
        <v>50</v>
      </c>
      <c r="G353"/>
    </row>
    <row r="354" spans="2:7" ht="15">
      <c r="B354" s="103">
        <v>43083</v>
      </c>
      <c r="C354" s="102" t="s">
        <v>77</v>
      </c>
      <c r="D354" s="102">
        <v>74</v>
      </c>
      <c r="E354" s="102">
        <v>48</v>
      </c>
      <c r="G354"/>
    </row>
    <row r="355" spans="2:7" ht="15">
      <c r="B355" s="103">
        <v>43084</v>
      </c>
      <c r="C355" s="102" t="s">
        <v>80</v>
      </c>
      <c r="D355" s="102">
        <v>63</v>
      </c>
      <c r="E355" s="102">
        <v>48</v>
      </c>
      <c r="G355"/>
    </row>
    <row r="356" spans="2:7" ht="15">
      <c r="B356" s="103">
        <v>43085</v>
      </c>
      <c r="C356" s="102" t="s">
        <v>79</v>
      </c>
      <c r="D356" s="102">
        <v>43</v>
      </c>
      <c r="E356" s="102">
        <v>76</v>
      </c>
      <c r="G356"/>
    </row>
    <row r="357" spans="2:7" ht="15">
      <c r="G357"/>
    </row>
    <row r="358" spans="2:7" ht="15">
      <c r="G358"/>
    </row>
    <row r="359" spans="2:7" ht="15">
      <c r="G359"/>
    </row>
    <row r="360" spans="2:7" ht="15">
      <c r="G360"/>
    </row>
    <row r="361" spans="2:7" ht="15">
      <c r="G361"/>
    </row>
    <row r="362" spans="2:7" ht="15">
      <c r="G362"/>
    </row>
    <row r="363" spans="2:7" ht="15">
      <c r="G363"/>
    </row>
    <row r="364" spans="2:7" ht="15">
      <c r="G364"/>
    </row>
    <row r="365" spans="2:7" ht="15">
      <c r="G365"/>
    </row>
    <row r="366" spans="2:7" ht="15">
      <c r="G366"/>
    </row>
    <row r="367" spans="2:7" ht="15">
      <c r="G367"/>
    </row>
    <row r="368" spans="2:7" ht="15">
      <c r="G368"/>
    </row>
    <row r="369" spans="7:7" ht="15">
      <c r="G369"/>
    </row>
  </sheetData>
  <mergeCells count="3">
    <mergeCell ref="L8:M8"/>
    <mergeCell ref="B8:E8"/>
    <mergeCell ref="G8:J8"/>
  </mergeCells>
  <pageMargins left="0.78740157499999996" right="0.78740157499999996" top="0.984251969" bottom="0.984251969" header="0.49212598499999999" footer="0.49212598499999999"/>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Itex</vt:lpstr>
      <vt:lpstr>1</vt:lpstr>
      <vt:lpstr>2</vt:lpstr>
      <vt:lpstr>3</vt:lpstr>
      <vt:lpstr>4</vt:lpstr>
      <vt:lpstr>5</vt:lpstr>
      <vt:lpstr>6</vt:lpstr>
      <vt:lpstr>7</vt:lpstr>
      <vt:lpstr>8</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administrativo@itexbr.com</dc:creator>
  <cp:lastModifiedBy>João Estevan Barbosa</cp:lastModifiedBy>
  <dcterms:created xsi:type="dcterms:W3CDTF">2012-03-18T00:45:29Z</dcterms:created>
  <dcterms:modified xsi:type="dcterms:W3CDTF">2021-12-08T22:57:29Z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36b3a67d-5b5a-41f3-8bbd-8316f106989c</vt:lpwstr>
  </property>
</Properties>
</file>